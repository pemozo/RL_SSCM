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ohammed Zoghian\Downloads\"/>
    </mc:Choice>
  </mc:AlternateContent>
  <xr:revisionPtr revIDLastSave="0" documentId="13_ncr:1_{78F3AD81-2AF1-41A8-AE47-821D831CE6DE}" xr6:coauthVersionLast="47" xr6:coauthVersionMax="47" xr10:uidLastSave="{00000000-0000-0000-0000-000000000000}"/>
  <bookViews>
    <workbookView xWindow="38280" yWindow="3360" windowWidth="29040" windowHeight="15720" firstSheet="9" activeTab="14" xr2:uid="{B12195E4-1F77-42BE-B2BB-C7B9FCA0433B}"/>
  </bookViews>
  <sheets>
    <sheet name="PRISMA_1" sheetId="33" r:id="rId1"/>
    <sheet name="PRISMA 2_3" sheetId="37" r:id="rId2"/>
    <sheet name="PRISMA4" sheetId="38" r:id="rId3"/>
    <sheet name="PRISMA 4 SC" sheetId="40" r:id="rId4"/>
    <sheet name="PRISMA 4 SC 2" sheetId="58" r:id="rId5"/>
    <sheet name="PRISMA 4 SCM Task" sheetId="60" r:id="rId6"/>
    <sheet name="PRISMA 4 SUS" sheetId="41" r:id="rId7"/>
    <sheet name="PRISMA 4 SUS2" sheetId="52" r:id="rId8"/>
    <sheet name="AnalyseSCCharacteristics" sheetId="47" r:id="rId9"/>
    <sheet name="PRISMA 4 RL" sheetId="39" r:id="rId10"/>
    <sheet name="PRISMA 4 Hybrid" sheetId="56" r:id="rId11"/>
    <sheet name="PRISMA 4 NN" sheetId="62" r:id="rId12"/>
    <sheet name="PRISMA 4 Relationship" sheetId="54" r:id="rId13"/>
    <sheet name="Co-Problems" sheetId="53" r:id="rId14"/>
    <sheet name="PRISMA 4 RL MA" sheetId="42" r:id="rId15"/>
  </sheets>
  <definedNames>
    <definedName name="_xlnm._FilterDatabase" localSheetId="1" hidden="1">'PRISMA 2_3'!$A$2:$J$159</definedName>
    <definedName name="_xlnm._FilterDatabase" localSheetId="11" hidden="1">'PRISMA 4 NN'!$A$1:$E$42</definedName>
    <definedName name="_xlnm._FilterDatabase" localSheetId="12" hidden="1">'PRISMA 4 Relationship'!$A$1:$M$41</definedName>
    <definedName name="_xlnm._FilterDatabase" localSheetId="9" hidden="1">'PRISMA 4 RL'!$A$1:$AA$42</definedName>
    <definedName name="_xlnm._FilterDatabase" localSheetId="3" hidden="1">'PRISMA 4 SC'!$A$1:$I$42</definedName>
    <definedName name="_xlnm._FilterDatabase" localSheetId="4" hidden="1">'PRISMA 4 SC 2'!$A$1:$L$42</definedName>
    <definedName name="_xlnm._FilterDatabase" localSheetId="6" hidden="1">'PRISMA 4 SUS'!$A$1:$T$42</definedName>
    <definedName name="_xlnm._FilterDatabase" localSheetId="7" hidden="1">'PRISMA 4 SUS2'!$A$1:$J$42</definedName>
    <definedName name="_xlnm._FilterDatabase" localSheetId="2" hidden="1">PRISMA4!$A$1:$K$32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8" i="33" l="1"/>
  <c r="E208" i="33"/>
  <c r="E159" i="33"/>
  <c r="E124" i="33"/>
  <c r="E111" i="33"/>
  <c r="E58" i="33"/>
  <c r="E230"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I8" authorId="0" shapeId="0" xr:uid="{311DDC88-22C5-4ABF-B341-9905809ADF40}">
      <text>
        <r>
          <rPr>
            <b/>
            <sz val="9"/>
            <color indexed="81"/>
            <rFont val="Tahoma"/>
            <charset val="1"/>
          </rPr>
          <t>Mohammed Zoghian:</t>
        </r>
        <r>
          <rPr>
            <sz val="9"/>
            <color indexed="81"/>
            <rFont val="Tahoma"/>
            <charset val="1"/>
          </rPr>
          <t xml:space="preserve">
Unter dezentralen Mechanismen versteht die Studie insbesondere den Einsatz von Multi-Agenten-Systemen. Dabei würden einzelne „Agenten“ (die z. B. für eine Fabrik oder einen Lieferanten stehen) autonom agieren und miteinander interagieren oder verhandeln, um lokale Störungen schneller zu lösen.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F8" authorId="0" shapeId="0" xr:uid="{9F1357CB-3EAF-4A17-A1BD-80CDEC4FF45B}">
      <text>
        <r>
          <rPr>
            <b/>
            <sz val="9"/>
            <color indexed="81"/>
            <rFont val="Tahoma"/>
            <charset val="1"/>
          </rPr>
          <t>Mohammed Zoghian:</t>
        </r>
        <r>
          <rPr>
            <sz val="9"/>
            <color indexed="81"/>
            <rFont val="Tahoma"/>
            <charset val="1"/>
          </rPr>
          <t xml:space="preserve">
Planung und Optimierung einer Halbleiter-Supply-Chain (mehrstufig, mehrperiodig) unter Kosten-, Zeit- und Nachhaltigkeitszielen – und zwar trotz Unsicherheit/Risiken und Regulierung.</t>
        </r>
      </text>
    </comment>
    <comment ref="F25" authorId="0" shapeId="0" xr:uid="{1F76C034-70C5-4124-8836-52C5A86AC7BD}">
      <text>
        <r>
          <rPr>
            <b/>
            <sz val="9"/>
            <color indexed="81"/>
            <rFont val="Tahoma"/>
            <charset val="1"/>
          </rPr>
          <t>Mohammed Zoghian:</t>
        </r>
        <r>
          <rPr>
            <sz val="9"/>
            <color indexed="81"/>
            <rFont val="Tahoma"/>
            <charset val="1"/>
          </rPr>
          <t xml:space="preserve">
Es wird explizit eine multi-echelon closed-loop supply chain mit Rückflüssen (WEEE-Sammlung/Disassembly → Recycling → Produktion) und Vorwärtsfluss (EEE-Produktion → Distributor → Markt) modelliert; Entscheidungen umfassen Collection, Disassembly, Pelletizing, externe Beschaffung, Produktion und Auslieferung über mehrere Perioden.</t>
        </r>
      </text>
    </comment>
    <comment ref="H31" authorId="0" shapeId="0" xr:uid="{6BA8D8B3-ED4B-4679-ABE6-02AE82D6792B}">
      <text>
        <r>
          <rPr>
            <b/>
            <sz val="9"/>
            <color indexed="81"/>
            <rFont val="Tahoma"/>
            <family val="2"/>
          </rPr>
          <t>Mohammed Zoghian:</t>
        </r>
        <r>
          <rPr>
            <sz val="9"/>
            <color indexed="81"/>
            <rFont val="Tahoma"/>
            <family val="2"/>
          </rPr>
          <t xml:space="preserve">
zweiphasiges Reverse-Logistics-System modelliert: Customers → Pickup Points → Distribution Centers → (Plant für Refurbishment/Reuse) oder Recycling Center, abhängig von Time-Windows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B7" authorId="0" shapeId="0" xr:uid="{F76CC3CA-206C-4363-9A35-CE930FB5089E}">
      <text>
        <r>
          <rPr>
            <b/>
            <sz val="9"/>
            <color indexed="81"/>
            <rFont val="Tahoma"/>
            <family val="2"/>
          </rPr>
          <t>Mohammed Zoghian:</t>
        </r>
        <r>
          <rPr>
            <sz val="9"/>
            <color indexed="81"/>
            <rFont val="Tahoma"/>
            <family val="2"/>
          </rPr>
          <t xml:space="preserve">
Standorte von Facilities (Yi)
Netzwerkstruktur zwischen Knoten
Transportverbindungen
Kapazitäten
mehrperiodige Strukturentscheidungen
Resilienz des Netzwerks</t>
        </r>
      </text>
    </comment>
    <comment ref="L33" authorId="0" shapeId="0" xr:uid="{93AFC785-C69A-4D31-999A-5816C5CC708B}">
      <text>
        <r>
          <rPr>
            <b/>
            <sz val="9"/>
            <color indexed="81"/>
            <rFont val="Tahoma"/>
            <charset val="1"/>
          </rPr>
          <t>Mohammed Zoghian:</t>
        </r>
        <r>
          <rPr>
            <sz val="9"/>
            <color indexed="81"/>
            <rFont val="Tahoma"/>
            <charset val="1"/>
          </rPr>
          <t xml:space="preserve">
Rückführung/Return von WEEE)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F5" authorId="0" shapeId="0" xr:uid="{E89B26C3-04DE-4505-BA04-08DAA130E737}">
      <text>
        <r>
          <rPr>
            <b/>
            <sz val="9"/>
            <color indexed="81"/>
            <rFont val="Tahoma"/>
            <charset val="1"/>
          </rPr>
          <t>Mohammed Zoghian:</t>
        </r>
        <r>
          <rPr>
            <sz val="9"/>
            <color indexed="81"/>
            <rFont val="Tahoma"/>
            <charset val="1"/>
          </rPr>
          <t xml:space="preserve">
Battery exposure risk = Maß für Gefährdung der Bevölkerung durch Transport und Verarbeitung von Altbatterien
Gehört primär zur sozialen Dimension der Triple Bottom Line
Fachlich besser: Human Exposure Risk oder Population Exposure Risk
Misst indirekt Gesundheits- und Sicherheitsauswirkungen der Recyclinglogistik</t>
        </r>
      </text>
    </comment>
    <comment ref="P8" authorId="0" shapeId="0" xr:uid="{9D15C7C9-C44B-4660-AC27-6EE6498814AA}">
      <text>
        <r>
          <rPr>
            <b/>
            <sz val="9"/>
            <color indexed="81"/>
            <rFont val="Tahoma"/>
            <charset val="1"/>
          </rPr>
          <t>Mohammed Zoghian:</t>
        </r>
        <r>
          <rPr>
            <sz val="9"/>
            <color indexed="81"/>
            <rFont val="Tahoma"/>
            <charset val="1"/>
          </rPr>
          <t xml:space="preserve">
Waste ist im Modell ein Hebel, der deine Emissionsbilanz verschlechtert, sobald du ihn nicht ausreichend recycelst.</t>
        </r>
      </text>
    </comment>
    <comment ref="Q14" authorId="0" shapeId="0" xr:uid="{0C4F8BA1-BB68-488F-B0AA-2291F84B859F}">
      <text>
        <r>
          <rPr>
            <b/>
            <sz val="9"/>
            <color indexed="81"/>
            <rFont val="Tahoma"/>
            <charset val="1"/>
          </rPr>
          <t>Mohammed Zoghian:</t>
        </r>
        <r>
          <rPr>
            <sz val="9"/>
            <color indexed="81"/>
            <rFont val="Tahoma"/>
            <charset val="1"/>
          </rPr>
          <t xml:space="preserve">
Fuel-/Energy-Consumption geht im Modell als Budget-Nebenbedingungen ein: Beim Arbeiten wird Verbrauch entweder zeitbasiert (Verbrauchsrate × Arbeitszeit) oder mengenbasiert (Verbrauch pro Output × bearbeitete Menge) summiert und darf ein Limit 
Osm
O
sm
 ​
 nicht überschreiten. Beim Fahren (Routing) wird Verbrauch über Distanz modelliert (Faktor × 
Di′i⋅Yi′ism
D
i
′
i
 ​
⋅Y
i
′
ism
 ​
) und durch ein Fahr-Fuelbudget 
Fsm
F
sm
 ​
 begrenzt.</t>
        </r>
      </text>
    </comment>
    <comment ref="Q18" authorId="0" shapeId="0" xr:uid="{4ABDFE64-6996-4613-8635-F1D6A3ED7E3A}">
      <text>
        <r>
          <rPr>
            <b/>
            <sz val="9"/>
            <color indexed="81"/>
            <rFont val="Tahoma"/>
            <charset val="1"/>
          </rPr>
          <t>Mohammed Zoghian:</t>
        </r>
        <r>
          <rPr>
            <sz val="9"/>
            <color indexed="81"/>
            <rFont val="Tahoma"/>
            <charset val="1"/>
          </rPr>
          <t xml:space="preserve">
Die Emissionen werden zunächst prognostiziert und anschließend als eigene Zielgröße im multi-objective Optimierungsmodell (neben Kosten und Zeit) in die Reward-Funktion integriert, sodass emissionsärmere Entscheidungen systematisch bevorzugt werden.m Paper sind Emissionen primär eine eigene Zielgröße (Teil der multi-objective Optimierung zusammen mit Kosten und Zeit); nicht als harte Constraint vom Typ CO₂ ≤ X formuliert, sondern wirken höchstens implizit als „weiche“ Constraint über die Gewichtung/Trade-offs in der Zielfunktion.</t>
        </r>
      </text>
    </comment>
    <comment ref="P21" authorId="0" shapeId="0" xr:uid="{20CA15F6-A08C-4FB5-B43C-C08E53B50276}">
      <text>
        <r>
          <rPr>
            <b/>
            <sz val="9"/>
            <color indexed="81"/>
            <rFont val="Tahoma"/>
            <family val="2"/>
          </rPr>
          <t>Mohammed Zoghian:</t>
        </r>
        <r>
          <rPr>
            <sz val="9"/>
            <color indexed="81"/>
            <rFont val="Tahoma"/>
            <family val="2"/>
          </rPr>
          <t xml:space="preserve">
CO₂-Emissionen (kg/ton) berechnet als emission_rate × distance × units; zusätzlich Supplier “greenness” als binärer Indikator (green/non-green) und Carbon Tax/Penalty als monetäre Abbildung der Emissionen. Emissionen werden explizit gemessen; Kosten werden nur dann zum Proxy, wenn CO₂ über eine Steuer/Strafe in Geld abgebildet wird.</t>
        </r>
      </text>
    </comment>
    <comment ref="P25" authorId="0" shapeId="0" xr:uid="{8D9BB9ED-DD7E-45C1-A6D5-A1D9E47B5527}">
      <text>
        <r>
          <rPr>
            <b/>
            <sz val="9"/>
            <color indexed="81"/>
            <rFont val="Tahoma"/>
            <charset val="1"/>
          </rPr>
          <t>Mohammed Zoghian:</t>
        </r>
        <r>
          <rPr>
            <sz val="9"/>
            <color indexed="81"/>
            <rFont val="Tahoma"/>
            <charset val="1"/>
          </rPr>
          <t xml:space="preserve">
Emissionen gehen direkt über Kosten (Carbon Tax) in die Zielfunktion ein.
Waste geht nicht als eigene Zielgröße ein, sondern nur indirekt über Materialflüsse und Kosten.</t>
        </r>
      </text>
    </comment>
    <comment ref="F26" authorId="0" shapeId="0" xr:uid="{AD4985FF-8805-4872-B2A2-19D83F38517C}">
      <text>
        <r>
          <rPr>
            <b/>
            <sz val="9"/>
            <color indexed="81"/>
            <rFont val="Tahoma"/>
            <family val="2"/>
          </rPr>
          <t>Mohammed Zoghian:</t>
        </r>
        <r>
          <rPr>
            <sz val="9"/>
            <color indexed="81"/>
            <rFont val="Tahoma"/>
            <family val="2"/>
          </rPr>
          <t xml:space="preserve">
CO₂-/Emissionsreduktion im Omnichannel-Fulfillment (Transport/Last Mile) + (im erweiterten Sinne) kundenorientierte Nachhaltigkeit durch Loyalty/Servicequalität</t>
        </r>
      </text>
    </comment>
    <comment ref="M26" authorId="0" shapeId="0" xr:uid="{D66AEDFA-7A56-4AD1-A9C8-5EE9CB7CA3FA}">
      <text>
        <r>
          <rPr>
            <b/>
            <sz val="9"/>
            <color indexed="81"/>
            <rFont val="Tahoma"/>
            <family val="2"/>
          </rPr>
          <t>Mohammed Zoghian:</t>
        </r>
        <r>
          <rPr>
            <sz val="9"/>
            <color indexed="81"/>
            <rFont val="Tahoma"/>
            <family val="2"/>
          </rPr>
          <t xml:space="preserve">
CO₂-Emissionen, Loyalty und Profit gemeinsam in einer tri-objective Optimierung modelliert und zusätzlich in einer RL-Reward-Funktion gewichtet integriert.</t>
        </r>
      </text>
    </comment>
    <comment ref="I27" authorId="0" shapeId="0" xr:uid="{7283EE38-05B4-4B72-82F9-80DBA2DB4ED6}">
      <text>
        <r>
          <rPr>
            <b/>
            <sz val="9"/>
            <color indexed="81"/>
            <rFont val="Tahoma"/>
            <family val="2"/>
          </rPr>
          <t>Mohammed Zoghian:</t>
        </r>
        <r>
          <rPr>
            <sz val="9"/>
            <color indexed="81"/>
            <rFont val="Tahoma"/>
            <family val="2"/>
          </rPr>
          <t xml:space="preserve">
CO₂-Emissionen, Loyalty und Profit gemeinsam in einer tri-objective Optimierung modelliert und zusätzlich in einer RL-Reward-Funktion gewichtet integriert.</t>
        </r>
      </text>
    </comment>
    <comment ref="M28" authorId="0" shapeId="0" xr:uid="{3BFD6AE5-990A-4690-B93E-AC436AB627EC}">
      <text>
        <r>
          <rPr>
            <b/>
            <sz val="9"/>
            <color indexed="81"/>
            <rFont val="Tahoma"/>
            <family val="2"/>
          </rPr>
          <t>Mohammed Zoghian:</t>
        </r>
        <r>
          <rPr>
            <sz val="9"/>
            <color indexed="81"/>
            <rFont val="Tahoma"/>
            <family val="2"/>
          </rPr>
          <t xml:space="preserve">
Die Autoren sagen sinngemäß, dass Wastage eng mit Surplus zusammenhängt, und deshalb wird im RL nicht direkt 
W
W gesteuert, sondern 
S
S über den Anpassungsfaktor 
f
f. </t>
        </r>
      </text>
    </comment>
    <comment ref="I29" authorId="0" shapeId="0" xr:uid="{36171B20-F9F6-4013-B695-604F657D6E76}">
      <text>
        <r>
          <rPr>
            <b/>
            <sz val="9"/>
            <color indexed="81"/>
            <rFont val="Tahoma"/>
            <family val="2"/>
          </rPr>
          <t>Mohammed Zoghian:</t>
        </r>
        <r>
          <rPr>
            <sz val="9"/>
            <color indexed="81"/>
            <rFont val="Tahoma"/>
            <family val="2"/>
          </rPr>
          <t xml:space="preserve">
Die Autoren sagen sinngemäß, dass Wastage eng mit Surplus zusammenhängt, und deshalb wird im RL nicht direkt 
W
W gesteuert, sondern 
S
S über den Anpassungsfaktor 
f
f. </t>
        </r>
      </text>
    </comment>
    <comment ref="P31" authorId="0" shapeId="0" xr:uid="{362BEE8B-CE21-496F-BF98-6F908304543C}">
      <text>
        <r>
          <rPr>
            <b/>
            <sz val="9"/>
            <color indexed="81"/>
            <rFont val="Tahoma"/>
            <family val="2"/>
          </rPr>
          <t>Mohammed Zoghian:</t>
        </r>
        <r>
          <rPr>
            <sz val="9"/>
            <color indexed="81"/>
            <rFont val="Tahoma"/>
            <family val="2"/>
          </rPr>
          <t xml:space="preserve">
CO₂-Kosten als Proxy: Emissionen pro Distanz (z. B. 0.23 kg CO₂/mile) + monetarisierter CO₂-Preis (z. B. $/t) → Carbon emission cost im Zielfunktionswert </t>
        </r>
      </text>
    </comment>
    <comment ref="Q31" authorId="0" shapeId="0" xr:uid="{5219F578-0176-49CC-872C-62B8C76ABFE6}">
      <text>
        <r>
          <rPr>
            <b/>
            <sz val="9"/>
            <color indexed="81"/>
            <rFont val="Tahoma"/>
            <family val="2"/>
          </rPr>
          <t>Mohammed Zoghian:</t>
        </r>
        <r>
          <rPr>
            <sz val="9"/>
            <color indexed="81"/>
            <rFont val="Tahoma"/>
            <family val="2"/>
          </rPr>
          <t xml:space="preserve">
Verderbliche Retouren (z. B. Lebensmittel, Kühlware) haben nur ein begrenztes Zeitfenster, in dem sie noch wirtschaftlich nutzbar sind (wiederverkaufen, aufbereiten, weiterverarbeiten). Wenn die Rückführung zu lange dauert, verderben sie bzw. gelten als „abgelaufen“ und verlieren ihren Wert. ahrzeuge werden so geplant, dass sie Distribution Centers innerhalb spezifischer Zeitfenster anfahren.Wenn das Zeitfenster nicht eingehalten wird, werden die Retouren nicht mehr zur Fabrik (Plant) geschickt, sondern zum Recycling Center umgeleitet. </t>
        </r>
      </text>
    </comment>
    <comment ref="G32" authorId="0" shapeId="0" xr:uid="{ECE3F640-2F5F-4644-AB2D-1D2CEC2DE731}">
      <text>
        <r>
          <rPr>
            <b/>
            <sz val="9"/>
            <color indexed="81"/>
            <rFont val="Tahoma"/>
            <family val="2"/>
          </rPr>
          <t>Mohammed Zoghian:</t>
        </r>
        <r>
          <rPr>
            <sz val="9"/>
            <color indexed="81"/>
            <rFont val="Tahoma"/>
            <family val="2"/>
          </rPr>
          <t xml:space="preserve">
Multi-objective wird erreicht, weil (i) zwei Ziele im Modell stehen und (ii) der Algorithmus Pareto-Dominanz + Pareto-Archive verwendet und die RL-Komponente mit Hypervolume die Qualität der gesamten Pareto-Menge steuert.</t>
        </r>
      </text>
    </comment>
    <comment ref="P32" authorId="0" shapeId="0" xr:uid="{62336026-6D7B-4D5F-B745-860304AD70B1}">
      <text>
        <r>
          <rPr>
            <b/>
            <sz val="9"/>
            <color indexed="81"/>
            <rFont val="Tahoma"/>
            <family val="2"/>
          </rPr>
          <t>Mohammed Zoghian:</t>
        </r>
        <r>
          <rPr>
            <sz val="9"/>
            <color indexed="81"/>
            <rFont val="Tahoma"/>
            <family val="2"/>
          </rPr>
          <t xml:space="preserve">
Customer satisfaction wird über Frische-/Qualitätsdeterioration und Verspätung gemessen (z. B. Frische-Score/Deterioration + Delay-Time)</t>
        </r>
      </text>
    </comment>
    <comment ref="I33" authorId="0" shapeId="0" xr:uid="{13DDD238-65B6-41EB-ADE7-D88127C13E64}">
      <text>
        <r>
          <rPr>
            <b/>
            <sz val="9"/>
            <color indexed="81"/>
            <rFont val="Tahoma"/>
            <charset val="1"/>
          </rPr>
          <t>Mohammed Zoghian:</t>
        </r>
        <r>
          <rPr>
            <sz val="9"/>
            <color indexed="81"/>
            <rFont val="Tahoma"/>
            <charset val="1"/>
          </rPr>
          <t xml:space="preserve">
Distanz &amp; Gewicht → höherer Verbrauch/Cost</t>
        </r>
      </text>
    </comment>
    <comment ref="M33" authorId="0" shapeId="0" xr:uid="{2FA38EF2-50FF-42E2-8530-FA58A5918687}">
      <text>
        <r>
          <rPr>
            <b/>
            <sz val="9"/>
            <color indexed="81"/>
            <rFont val="Tahoma"/>
            <charset val="1"/>
          </rPr>
          <t>Mohammed Zoghian:</t>
        </r>
        <r>
          <rPr>
            <sz val="9"/>
            <color indexed="81"/>
            <rFont val="Tahoma"/>
            <charset val="1"/>
          </rPr>
          <t xml:space="preserve">
Distanz &amp; Gewicht → höherer Verbrauch/Cost</t>
        </r>
      </text>
    </comment>
    <comment ref="G34" authorId="0" shapeId="0" xr:uid="{C16517F4-2AE6-4081-BE58-D82EF15F3ED3}">
      <text>
        <r>
          <rPr>
            <b/>
            <sz val="9"/>
            <color indexed="81"/>
            <rFont val="Tahoma"/>
            <charset val="1"/>
          </rPr>
          <t>Mohammed Zoghian:</t>
        </r>
        <r>
          <rPr>
            <sz val="9"/>
            <color indexed="81"/>
            <rFont val="Tahoma"/>
            <charset val="1"/>
          </rPr>
          <t xml:space="preserve">
Der Reward ist im Paper als zweidimensionaler Reward-Vektor definiert, bestehend aus periodischen Gesamtkosten (inkl. Carbon-Trading und ggf. Strafterm am Ende) und periodischen GHG-Emissionen (Produktion, Lager, Transport). </t>
        </r>
      </text>
    </comment>
    <comment ref="I34" authorId="0" shapeId="0" xr:uid="{D7BC332E-9865-4151-9881-BE0342A9D6E6}">
      <text>
        <r>
          <rPr>
            <b/>
            <sz val="9"/>
            <color indexed="81"/>
            <rFont val="Tahoma"/>
            <charset val="1"/>
          </rPr>
          <t>Mohammed Zoghian:</t>
        </r>
        <r>
          <rPr>
            <sz val="9"/>
            <color indexed="81"/>
            <rFont val="Tahoma"/>
            <charset val="1"/>
          </rPr>
          <t xml:space="preserve">
Emissionen gehen als zweites Optimierungsziel direkt in die MOMDP ein, über die periodische Emissionsfunktion 
Et(st,at)
E
t
 ​
(s
t
 ​
,a
t
 ​
) (Produktion, Lagerhaltung, Transport) und werden zu kumulativen Emissionen 
CEt
CE
t
 ​
 aufaddiert. Zusätzlich beeinflussen sie das Kostenziel über das Cap-and-Trade-System: Überschreitungen der verfügbaren Zertifikate 
CCt
CC
t
 ​
 führen (spätestens am Horizontende) zu Strafkosten bzw. Handelskosten.</t>
        </r>
      </text>
    </comment>
    <comment ref="M34" authorId="0" shapeId="0" xr:uid="{D310F60A-37D8-4B62-A9AA-99269E22C4AF}">
      <text>
        <r>
          <rPr>
            <b/>
            <sz val="9"/>
            <color indexed="81"/>
            <rFont val="Tahoma"/>
            <charset val="1"/>
          </rPr>
          <t>Mohammed Zoghian:</t>
        </r>
        <r>
          <rPr>
            <sz val="9"/>
            <color indexed="81"/>
            <rFont val="Tahoma"/>
            <charset val="1"/>
          </rPr>
          <t xml:space="preserve">
Emissionen gehen als zweites Optimierungsziel direkt in die MOMDP ein, über die periodische Emissionsfunktion 
Et(st,at)
E
t
 ​
(s
t
 ​
,a
t
 ​
) (Produktion, Lagerhaltung, Transport) und werden zu kumulativen Emissionen 
CEt
CE
t
 ​
 aufaddiert. Zusätzlich beeinflussen sie das Kostenziel über das Cap-and-Trade-System: Überschreitungen der verfügbaren Zertifikate 
CCt
CC
t
 ​
 führen (spätestens am Horizontende) zu Strafkosten bzw. Handelskosten.</t>
        </r>
      </text>
    </comment>
    <comment ref="P34" authorId="0" shapeId="0" xr:uid="{398FAB06-6556-4D1A-9BCF-5467BB8EAC18}">
      <text>
        <r>
          <rPr>
            <b/>
            <sz val="9"/>
            <color indexed="81"/>
            <rFont val="Tahoma"/>
            <charset val="1"/>
          </rPr>
          <t>Mohammed Zoghian:</t>
        </r>
        <r>
          <rPr>
            <sz val="9"/>
            <color indexed="81"/>
            <rFont val="Tahoma"/>
            <charset val="1"/>
          </rPr>
          <t xml:space="preserve">
Emissionen gehen als zweites Optimierungsziel direkt in die MOMDP ein, über die periodische Emissionsfunktion 
Et(st,at)
E
t
 ​
(s
t
 ​
,a
t
 ​
) (Produktion, Lagerhaltung, Transport) und werden zu kumulativen Emissionen 
CEt
CE
t
 ​
 aufaddiert. Zusätzlich beeinflussen sie das Kostenziel über das Cap-and-Trade-System: Überschreitungen der verfügbaren Zertifikate 
CCt
CC
t
 ​
 führen (spätestens am Horizontende) zu Strafkosten bzw. Handelskosten. </t>
        </r>
      </text>
    </comment>
    <comment ref="G35" authorId="0" shapeId="0" xr:uid="{905A2517-43C1-454A-8146-D96C80B74BAA}">
      <text>
        <r>
          <rPr>
            <b/>
            <sz val="9"/>
            <color indexed="81"/>
            <rFont val="Tahoma"/>
            <charset val="1"/>
          </rPr>
          <t>Mohammed Zoghian:</t>
        </r>
        <r>
          <rPr>
            <sz val="9"/>
            <color indexed="81"/>
            <rFont val="Tahoma"/>
            <charset val="1"/>
          </rPr>
          <t xml:space="preserve">
mehrkriterielle Motivation, aber scalarized reward. m Paper werden zwar mehrere Ziele adressiert (Shortage minimieren, Wastage minimieren, ggf. Penalties/Erfüllung), aber sie werden zu einem einzigen skalaren Reward zusammengefasst (gewichtete Summe/Strafterm). Damit optimiert der Agent eine Zielfunktion.</t>
        </r>
      </text>
    </comment>
    <comment ref="J35" authorId="0" shapeId="0" xr:uid="{58E17F26-354E-4920-ABDF-D721769D958B}">
      <text>
        <r>
          <rPr>
            <b/>
            <sz val="9"/>
            <color indexed="81"/>
            <rFont val="Tahoma"/>
            <charset val="1"/>
          </rPr>
          <t>Mohammed Zoghian:</t>
        </r>
        <r>
          <rPr>
            <sz val="9"/>
            <color indexed="81"/>
            <rFont val="Tahoma"/>
            <charset val="1"/>
          </rPr>
          <t xml:space="preserve">
Vermeidung von Blutknappheit</t>
        </r>
      </text>
    </comment>
    <comment ref="N35" authorId="0" shapeId="0" xr:uid="{5D8AE059-0E61-4BA7-AF95-5AC9A3A5F863}">
      <text>
        <r>
          <rPr>
            <b/>
            <sz val="9"/>
            <color indexed="81"/>
            <rFont val="Tahoma"/>
            <charset val="1"/>
          </rPr>
          <t>Mohammed Zoghian:</t>
        </r>
        <r>
          <rPr>
            <sz val="9"/>
            <color indexed="81"/>
            <rFont val="Tahoma"/>
            <charset val="1"/>
          </rPr>
          <t xml:space="preserve">
Vermeidung von Blutknappheit</t>
        </r>
      </text>
    </comment>
    <comment ref="I36" authorId="0" shapeId="0" xr:uid="{0C9C968A-D2BD-4520-9DE6-10E00CA7C852}">
      <text>
        <r>
          <rPr>
            <b/>
            <sz val="9"/>
            <color indexed="81"/>
            <rFont val="Tahoma"/>
            <charset val="1"/>
          </rPr>
          <t>Mohammed Zoghian:</t>
        </r>
        <r>
          <rPr>
            <sz val="9"/>
            <color indexed="81"/>
            <rFont val="Tahoma"/>
            <charset val="1"/>
          </rPr>
          <t xml:space="preserve">
Waste: direkt als 
fq,m,t
f
q,m,t
 ​
 (eingefrorener Überschuss) und als gewichtete Summe 
E
Damit ist „Waste“ mathematisch: positive Überdeckung (Surplus), die als Einfrieren modelliert wird und in 
E
E minimiert wird.</t>
        </r>
      </text>
    </comment>
    <comment ref="M36" authorId="0" shapeId="0" xr:uid="{57E35480-F7BE-44C5-A8F6-E1935FBA9BB9}">
      <text>
        <r>
          <rPr>
            <b/>
            <sz val="9"/>
            <color indexed="81"/>
            <rFont val="Tahoma"/>
            <charset val="1"/>
          </rPr>
          <t>Mohammed Zoghian:</t>
        </r>
        <r>
          <rPr>
            <sz val="9"/>
            <color indexed="81"/>
            <rFont val="Tahoma"/>
            <charset val="1"/>
          </rPr>
          <t xml:space="preserve">
Waste: direkt als 
fq,m,t
f
q,m,t
 ​
 (eingefrorener Überschuss) und als gewichtete Summe 
E
Damit ist „Waste“ mathematisch: positive Überdeckung (Surplus), die als Einfrieren modelliert wird und in 
E
E minimiert wird.</t>
        </r>
      </text>
    </comment>
    <comment ref="I38" authorId="0" shapeId="0" xr:uid="{79EBB7DE-D74B-4ACF-B335-C3CADDEE542A}">
      <text>
        <r>
          <rPr>
            <b/>
            <sz val="9"/>
            <color indexed="81"/>
            <rFont val="Tahoma"/>
            <charset val="1"/>
          </rPr>
          <t>Mohammed Zoghian:</t>
        </r>
        <r>
          <rPr>
            <sz val="9"/>
            <color indexed="81"/>
            <rFont val="Tahoma"/>
            <charset val="1"/>
          </rPr>
          <t xml:space="preserve">
Reduktion von NOx, CO₂, SPM (in g) durch Konsolidierung (UDC/JDS) und weniger Fahrten</t>
        </r>
      </text>
    </comment>
    <comment ref="M38" authorId="0" shapeId="0" xr:uid="{F58C5679-1221-4BA3-9E5A-ECF8D2311DD6}">
      <text>
        <r>
          <rPr>
            <b/>
            <sz val="9"/>
            <color indexed="81"/>
            <rFont val="Tahoma"/>
            <charset val="1"/>
          </rPr>
          <t>Mohammed Zoghian:</t>
        </r>
        <r>
          <rPr>
            <sz val="9"/>
            <color indexed="81"/>
            <rFont val="Tahoma"/>
            <charset val="1"/>
          </rPr>
          <t xml:space="preserve">
Reduktion von NOx, CO₂, SPM (in g) durch Konsolidierung (UDC/JDS) und weniger Fahrten</t>
        </r>
      </text>
    </comment>
    <comment ref="Q38" authorId="0" shapeId="0" xr:uid="{3F9B4064-4E31-4703-AEC5-434818E04E13}">
      <text>
        <r>
          <rPr>
            <b/>
            <sz val="9"/>
            <color indexed="81"/>
            <rFont val="Tahoma"/>
            <charset val="1"/>
          </rPr>
          <t>Mohammed Zoghian:</t>
        </r>
        <r>
          <rPr>
            <sz val="9"/>
            <color indexed="81"/>
            <rFont val="Tahoma"/>
            <charset val="1"/>
          </rPr>
          <t xml:space="preserve">
Emissions-“Limit” löst Beschwerden aus (Residents complain when emissions exceed limit);</t>
        </r>
      </text>
    </comment>
    <comment ref="P39" authorId="0" shapeId="0" xr:uid="{F4204CCC-1D57-49A6-9329-3D6F6A8E522D}">
      <text>
        <r>
          <rPr>
            <b/>
            <sz val="9"/>
            <color indexed="81"/>
            <rFont val="Tahoma"/>
            <charset val="1"/>
          </rPr>
          <t>Mohammed Zoghian:</t>
        </r>
        <r>
          <rPr>
            <sz val="9"/>
            <color indexed="81"/>
            <rFont val="Tahoma"/>
            <charset val="1"/>
          </rPr>
          <t xml:space="preserve">
Weniger Verderb“ geht als Outdating-Menge 
TOt
TO
t
 ​
 in die Optimierung ein: Jede abgelaufene und entsorgte Einheit verursacht eine Straf-/Kostenzahlung 
co⋅TOt
c
o
 ​
⋅TO
t
 ​
, die minimiert werden soll. Die Reward/Kostenfunktion pro Periode ist 
rt=co⋅TOt+cs⋅TSt
r
t
 ​
=c
o
 ​
⋅TO
t
 ​
+c
s
 ​
⋅TS
t
 ​
 (und im RL wird oft 
−rt
−r
t
 ​
 als Reward maximiert).</t>
        </r>
      </text>
    </comment>
    <comment ref="J40" authorId="0" shapeId="0" xr:uid="{B18A08D6-C067-445B-A3D1-A3909C9E0B9A}">
      <text>
        <r>
          <rPr>
            <b/>
            <sz val="9"/>
            <color indexed="81"/>
            <rFont val="Tahoma"/>
            <charset val="1"/>
          </rPr>
          <t>Mohammed Zoghian:</t>
        </r>
        <r>
          <rPr>
            <sz val="9"/>
            <color indexed="81"/>
            <rFont val="Tahoma"/>
            <charset val="1"/>
          </rPr>
          <t xml:space="preserve">
equity</t>
        </r>
      </text>
    </comment>
    <comment ref="N40" authorId="0" shapeId="0" xr:uid="{A8DB6404-A8F6-4612-BDE7-39EF22016F5B}">
      <text>
        <r>
          <rPr>
            <b/>
            <sz val="9"/>
            <color indexed="81"/>
            <rFont val="Tahoma"/>
            <charset val="1"/>
          </rPr>
          <t>Mohammed Zoghian:</t>
        </r>
        <r>
          <rPr>
            <sz val="9"/>
            <color indexed="81"/>
            <rFont val="Tahoma"/>
            <charset val="1"/>
          </rPr>
          <t xml:space="preserve">
equity</t>
        </r>
      </text>
    </comment>
    <comment ref="P40" authorId="0" shapeId="0" xr:uid="{DCABBFDC-3D11-4F15-A867-ECEE9DCEE3B8}">
      <text>
        <r>
          <rPr>
            <b/>
            <sz val="9"/>
            <color indexed="81"/>
            <rFont val="Tahoma"/>
            <charset val="1"/>
          </rPr>
          <t>Mohammed Zoghian:</t>
        </r>
        <r>
          <rPr>
            <sz val="9"/>
            <color indexed="81"/>
            <rFont val="Tahoma"/>
            <charset val="1"/>
          </rPr>
          <t xml:space="preserve">
Deprivation cost (human suffering), equity via terminal penalty cost; plus delivery/accessibility cost</t>
        </r>
      </text>
    </comment>
    <comment ref="P41" authorId="0" shapeId="0" xr:uid="{6FEA478F-F582-4362-8774-45AC313A9B75}">
      <text>
        <r>
          <rPr>
            <b/>
            <sz val="9"/>
            <color indexed="81"/>
            <rFont val="Tahoma"/>
            <charset val="1"/>
          </rPr>
          <t>Mohammed Zoghian:</t>
        </r>
        <r>
          <rPr>
            <sz val="9"/>
            <color indexed="81"/>
            <rFont val="Tahoma"/>
            <charset val="1"/>
          </rPr>
          <t xml:space="preserve">
Emissionen entstehen endogen durch Produktions-, Transport- und Lagerentscheidungen und hängen von der Wahl zwischen grüner und regulärer Technologie ab 
s40314-022-01868-5-1
. Sie gehen nicht direkt in die Zielfunktion ein, sondern wirken über ein Cap-and-Trade-System als Restriktion und verursachen Kosten durch den Kauf von Emissionszertifikaten, was den Gewinn beeinflusst.</t>
        </r>
      </text>
    </comment>
    <comment ref="Q41" authorId="0" shapeId="0" xr:uid="{4B05B016-D390-422A-BB78-DDB7FC6889A0}">
      <text>
        <r>
          <rPr>
            <b/>
            <sz val="9"/>
            <color indexed="81"/>
            <rFont val="Tahoma"/>
            <charset val="1"/>
          </rPr>
          <t>Mohammed Zoghian:</t>
        </r>
        <r>
          <rPr>
            <sz val="9"/>
            <color indexed="81"/>
            <rFont val="Tahoma"/>
            <charset val="1"/>
          </rPr>
          <t xml:space="preserve">
Emissionscap (Tot_Allowance) begrenzt Entscheidungen</t>
        </r>
      </text>
    </comment>
    <comment ref="G42" authorId="0" shapeId="0" xr:uid="{A62A1346-F439-4313-B12F-29864B4C144D}">
      <text>
        <r>
          <rPr>
            <b/>
            <sz val="9"/>
            <color indexed="81"/>
            <rFont val="Tahoma"/>
            <charset val="1"/>
          </rPr>
          <t>Mohammed Zoghian:</t>
        </r>
        <r>
          <rPr>
            <sz val="9"/>
            <color indexed="81"/>
            <rFont val="Tahoma"/>
            <charset val="1"/>
          </rPr>
          <t xml:space="preserve">
Pareto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I8" authorId="0" shapeId="0" xr:uid="{D8086B74-C03A-4F58-ADC8-5CA986E47097}">
      <text>
        <r>
          <rPr>
            <b/>
            <sz val="9"/>
            <color indexed="81"/>
            <rFont val="Tahoma"/>
            <charset val="1"/>
          </rPr>
          <t>Mohammed Zoghian:</t>
        </r>
        <r>
          <rPr>
            <sz val="9"/>
            <color indexed="81"/>
            <rFont val="Tahoma"/>
            <charset val="1"/>
          </rPr>
          <t xml:space="preserve">
Waste ist im Modell ein Hebel, der deine Emissionsbilanz verschlechtert, sobald du ihn nicht ausreichend recycelst.</t>
        </r>
      </text>
    </comment>
    <comment ref="J14" authorId="0" shapeId="0" xr:uid="{6E07B176-AF8A-4D59-A150-F04B35809C4D}">
      <text>
        <r>
          <rPr>
            <b/>
            <sz val="9"/>
            <color indexed="81"/>
            <rFont val="Tahoma"/>
            <charset val="1"/>
          </rPr>
          <t>Mohammed Zoghian:</t>
        </r>
        <r>
          <rPr>
            <sz val="9"/>
            <color indexed="81"/>
            <rFont val="Tahoma"/>
            <charset val="1"/>
          </rPr>
          <t xml:space="preserve">
Fuel-/Energy-Consumption geht im Modell als Budget-Nebenbedingungen ein: Beim Arbeiten wird Verbrauch entweder zeitbasiert (Verbrauchsrate × Arbeitszeit) oder mengenbasiert (Verbrauch pro Output × bearbeitete Menge) summiert und darf ein Limit 
Osm
O
sm
 ​
 nicht überschreiten. Beim Fahren (Routing) wird Verbrauch über Distanz modelliert (Faktor × 
Di′i⋅Yi′ism
D
i
′
i
 ​
⋅Y
i
′
ism
 ​
) und durch ein Fahr-Fuelbudget 
Fsm
F
sm
 ​
 begrenzt.</t>
        </r>
      </text>
    </comment>
    <comment ref="J18" authorId="0" shapeId="0" xr:uid="{3CDC1F9A-D32F-4163-A704-332110673BC8}">
      <text>
        <r>
          <rPr>
            <b/>
            <sz val="9"/>
            <color indexed="81"/>
            <rFont val="Tahoma"/>
            <charset val="1"/>
          </rPr>
          <t>Mohammed Zoghian:</t>
        </r>
        <r>
          <rPr>
            <sz val="9"/>
            <color indexed="81"/>
            <rFont val="Tahoma"/>
            <charset val="1"/>
          </rPr>
          <t xml:space="preserve">
Die Emissionen werden zunächst prognostiziert und anschließend als eigene Zielgröße im multi-objective Optimierungsmodell (neben Kosten und Zeit) in die Reward-Funktion integriert, sodass emissionsärmere Entscheidungen systematisch bevorzugt werden.m Paper sind Emissionen primär eine eigene Zielgröße (Teil der multi-objective Optimierung zusammen mit Kosten und Zeit); nicht als harte Constraint vom Typ CO₂ ≤ X formuliert, sondern wirken höchstens implizit als „weiche“ Constraint über die Gewichtung/Trade-offs in der Zielfunktion.</t>
        </r>
      </text>
    </comment>
    <comment ref="I21" authorId="0" shapeId="0" xr:uid="{20203D99-9FB6-4EE1-9F98-A2DA8FDBB5FF}">
      <text>
        <r>
          <rPr>
            <b/>
            <sz val="9"/>
            <color indexed="81"/>
            <rFont val="Tahoma"/>
            <family val="2"/>
          </rPr>
          <t>Mohammed Zoghian:</t>
        </r>
        <r>
          <rPr>
            <sz val="9"/>
            <color indexed="81"/>
            <rFont val="Tahoma"/>
            <family val="2"/>
          </rPr>
          <t xml:space="preserve">
CO₂-Emissionen (kg/ton) berechnet als emission_rate × distance × units; zusätzlich Supplier “greenness” als binärer Indikator (green/non-green) und Carbon Tax/Penalty als monetäre Abbildung der Emissionen. Emissionen werden explizit gemessen; Kosten werden nur dann zum Proxy, wenn CO₂ über eine Steuer/Strafe in Geld abgebildet wird.</t>
        </r>
      </text>
    </comment>
    <comment ref="I25" authorId="0" shapeId="0" xr:uid="{132858EE-D1A9-4BCA-AC74-07F6181CFEB7}">
      <text>
        <r>
          <rPr>
            <b/>
            <sz val="9"/>
            <color indexed="81"/>
            <rFont val="Tahoma"/>
            <charset val="1"/>
          </rPr>
          <t>Mohammed Zoghian:</t>
        </r>
        <r>
          <rPr>
            <sz val="9"/>
            <color indexed="81"/>
            <rFont val="Tahoma"/>
            <charset val="1"/>
          </rPr>
          <t xml:space="preserve">
Emissionen gehen direkt über Kosten (Carbon Tax) in die Zielfunktion ein.
Waste geht nicht als eigene Zielgröße ein, sondern nur indirekt über Materialflüsse und Kosten.</t>
        </r>
      </text>
    </comment>
    <comment ref="F26" authorId="0" shapeId="0" xr:uid="{BE018A4D-97D4-4A70-810B-0722118E121D}">
      <text>
        <r>
          <rPr>
            <b/>
            <sz val="9"/>
            <color indexed="81"/>
            <rFont val="Tahoma"/>
            <family val="2"/>
          </rPr>
          <t>Mohammed Zoghian:</t>
        </r>
        <r>
          <rPr>
            <sz val="9"/>
            <color indexed="81"/>
            <rFont val="Tahoma"/>
            <family val="2"/>
          </rPr>
          <t xml:space="preserve">
CO₂-Emissionen, Loyalty und Profit gemeinsam in einer tri-objective Optimierung modelliert und zusätzlich in einer RL-Reward-Funktion gewichtet integriert.</t>
        </r>
      </text>
    </comment>
    <comment ref="B27" authorId="0" shapeId="0" xr:uid="{227D34CF-D298-48EC-9E30-DB1D3AC1B1A2}">
      <text>
        <r>
          <rPr>
            <b/>
            <sz val="9"/>
            <color indexed="81"/>
            <rFont val="Tahoma"/>
            <family val="2"/>
          </rPr>
          <t>Mohammed Zoghian:</t>
        </r>
        <r>
          <rPr>
            <sz val="9"/>
            <color indexed="81"/>
            <rFont val="Tahoma"/>
            <family val="2"/>
          </rPr>
          <t xml:space="preserve">
CO₂-Emissionen, Loyalty und Profit gemeinsam in einer tri-objective Optimierung modelliert und zusätzlich in einer RL-Reward-Funktion gewichtet integriert.</t>
        </r>
      </text>
    </comment>
    <comment ref="F28" authorId="0" shapeId="0" xr:uid="{2551D8BA-C101-4B71-B6C5-4B0F969BA7FF}">
      <text>
        <r>
          <rPr>
            <b/>
            <sz val="9"/>
            <color indexed="81"/>
            <rFont val="Tahoma"/>
            <family val="2"/>
          </rPr>
          <t>Mohammed Zoghian:</t>
        </r>
        <r>
          <rPr>
            <sz val="9"/>
            <color indexed="81"/>
            <rFont val="Tahoma"/>
            <family val="2"/>
          </rPr>
          <t xml:space="preserve">
Die Autoren sagen sinngemäß, dass Wastage eng mit Surplus zusammenhängt, und deshalb wird im RL nicht direkt 
W
W gesteuert, sondern 
S
S über den Anpassungsfaktor 
f
f. </t>
        </r>
      </text>
    </comment>
    <comment ref="B29" authorId="0" shapeId="0" xr:uid="{5A76BF34-BF18-423B-9D23-67C47367BA6E}">
      <text>
        <r>
          <rPr>
            <b/>
            <sz val="9"/>
            <color indexed="81"/>
            <rFont val="Tahoma"/>
            <family val="2"/>
          </rPr>
          <t>Mohammed Zoghian:</t>
        </r>
        <r>
          <rPr>
            <sz val="9"/>
            <color indexed="81"/>
            <rFont val="Tahoma"/>
            <family val="2"/>
          </rPr>
          <t xml:space="preserve">
Die Autoren sagen sinngemäß, dass Wastage eng mit Surplus zusammenhängt, und deshalb wird im RL nicht direkt 
W
W gesteuert, sondern 
S
S über den Anpassungsfaktor 
f
f. </t>
        </r>
      </text>
    </comment>
    <comment ref="I31" authorId="0" shapeId="0" xr:uid="{202DA45F-B95C-45CF-8BFD-72313F38F57D}">
      <text>
        <r>
          <rPr>
            <b/>
            <sz val="9"/>
            <color indexed="81"/>
            <rFont val="Tahoma"/>
            <family val="2"/>
          </rPr>
          <t>Mohammed Zoghian:</t>
        </r>
        <r>
          <rPr>
            <sz val="9"/>
            <color indexed="81"/>
            <rFont val="Tahoma"/>
            <family val="2"/>
          </rPr>
          <t xml:space="preserve">
CO₂-Kosten als Proxy: Emissionen pro Distanz (z. B. 0.23 kg CO₂/mile) + monetarisierter CO₂-Preis (z. B. $/t) → Carbon emission cost im Zielfunktionswert </t>
        </r>
      </text>
    </comment>
    <comment ref="J31" authorId="0" shapeId="0" xr:uid="{92664668-393B-4AE3-8B9A-74C6F9DF771F}">
      <text>
        <r>
          <rPr>
            <b/>
            <sz val="9"/>
            <color indexed="81"/>
            <rFont val="Tahoma"/>
            <family val="2"/>
          </rPr>
          <t>Mohammed Zoghian:</t>
        </r>
        <r>
          <rPr>
            <sz val="9"/>
            <color indexed="81"/>
            <rFont val="Tahoma"/>
            <family val="2"/>
          </rPr>
          <t xml:space="preserve">
Verderbliche Retouren (z. B. Lebensmittel, Kühlware) haben nur ein begrenztes Zeitfenster, in dem sie noch wirtschaftlich nutzbar sind (wiederverkaufen, aufbereiten, weiterverarbeiten). Wenn die Rückführung zu lange dauert, verderben sie bzw. gelten als „abgelaufen“ und verlieren ihren Wert. ahrzeuge werden so geplant, dass sie Distribution Centers innerhalb spezifischer Zeitfenster anfahren.Wenn das Zeitfenster nicht eingehalten wird, werden die Retouren nicht mehr zur Fabrik (Plant) geschickt, sondern zum Recycling Center umgeleitet. </t>
        </r>
      </text>
    </comment>
    <comment ref="I32" authorId="0" shapeId="0" xr:uid="{3DDBA91A-3307-4FC9-BFC6-C43A79165E45}">
      <text>
        <r>
          <rPr>
            <b/>
            <sz val="9"/>
            <color indexed="81"/>
            <rFont val="Tahoma"/>
            <family val="2"/>
          </rPr>
          <t>Mohammed Zoghian:</t>
        </r>
        <r>
          <rPr>
            <sz val="9"/>
            <color indexed="81"/>
            <rFont val="Tahoma"/>
            <family val="2"/>
          </rPr>
          <t xml:space="preserve">
Customer satisfaction wird über Frische-/Qualitätsdeterioration und Verspätung gemessen (z. B. Frische-Score/Deterioration + Delay-Time)</t>
        </r>
      </text>
    </comment>
    <comment ref="B33" authorId="0" shapeId="0" xr:uid="{AA113555-5E81-4642-8B30-C558274D25BB}">
      <text>
        <r>
          <rPr>
            <b/>
            <sz val="9"/>
            <color indexed="81"/>
            <rFont val="Tahoma"/>
            <charset val="1"/>
          </rPr>
          <t>Mohammed Zoghian:</t>
        </r>
        <r>
          <rPr>
            <sz val="9"/>
            <color indexed="81"/>
            <rFont val="Tahoma"/>
            <charset val="1"/>
          </rPr>
          <t xml:space="preserve">
Distanz &amp; Gewicht → höherer Verbrauch/Cost</t>
        </r>
      </text>
    </comment>
    <comment ref="F33" authorId="0" shapeId="0" xr:uid="{B4ECB517-6841-4D0E-81FB-F05C93D3F7F5}">
      <text>
        <r>
          <rPr>
            <b/>
            <sz val="9"/>
            <color indexed="81"/>
            <rFont val="Tahoma"/>
            <charset val="1"/>
          </rPr>
          <t>Mohammed Zoghian:</t>
        </r>
        <r>
          <rPr>
            <sz val="9"/>
            <color indexed="81"/>
            <rFont val="Tahoma"/>
            <charset val="1"/>
          </rPr>
          <t xml:space="preserve">
Distanz &amp; Gewicht → höherer Verbrauch/Cost</t>
        </r>
      </text>
    </comment>
    <comment ref="B34" authorId="0" shapeId="0" xr:uid="{1B3CBC46-960F-4328-9679-6405794C0EE6}">
      <text>
        <r>
          <rPr>
            <b/>
            <sz val="9"/>
            <color indexed="81"/>
            <rFont val="Tahoma"/>
            <charset val="1"/>
          </rPr>
          <t>Mohammed Zoghian:</t>
        </r>
        <r>
          <rPr>
            <sz val="9"/>
            <color indexed="81"/>
            <rFont val="Tahoma"/>
            <charset val="1"/>
          </rPr>
          <t xml:space="preserve">
Emissionen gehen als zweites Optimierungsziel direkt in die MOMDP ein, über die periodische Emissionsfunktion 
Et(st,at)
E
t
 ​
(s
t
 ​
,a
t
 ​
) (Produktion, Lagerhaltung, Transport) und werden zu kumulativen Emissionen 
CEt
CE
t
 ​
 aufaddiert. Zusätzlich beeinflussen sie das Kostenziel über das Cap-and-Trade-System: Überschreitungen der verfügbaren Zertifikate 
CCt
CC
t
 ​
 führen (spätestens am Horizontende) zu Strafkosten bzw. Handelskosten.</t>
        </r>
      </text>
    </comment>
    <comment ref="F34" authorId="0" shapeId="0" xr:uid="{7C051F23-F179-48A4-9E04-E40B89520C14}">
      <text>
        <r>
          <rPr>
            <b/>
            <sz val="9"/>
            <color indexed="81"/>
            <rFont val="Tahoma"/>
            <charset val="1"/>
          </rPr>
          <t>Mohammed Zoghian:</t>
        </r>
        <r>
          <rPr>
            <sz val="9"/>
            <color indexed="81"/>
            <rFont val="Tahoma"/>
            <charset val="1"/>
          </rPr>
          <t xml:space="preserve">
Emissionen gehen als zweites Optimierungsziel direkt in die MOMDP ein, über die periodische Emissionsfunktion 
Et(st,at)
E
t
 ​
(s
t
 ​
,a
t
 ​
) (Produktion, Lagerhaltung, Transport) und werden zu kumulativen Emissionen 
CEt
CE
t
 ​
 aufaddiert. Zusätzlich beeinflussen sie das Kostenziel über das Cap-and-Trade-System: Überschreitungen der verfügbaren Zertifikate 
CCt
CC
t
 ​
 führen (spätestens am Horizontende) zu Strafkosten bzw. Handelskosten.</t>
        </r>
      </text>
    </comment>
    <comment ref="I34" authorId="0" shapeId="0" xr:uid="{BEBFA5D1-F6A2-496D-9468-E0BA8CD14733}">
      <text>
        <r>
          <rPr>
            <b/>
            <sz val="9"/>
            <color indexed="81"/>
            <rFont val="Tahoma"/>
            <charset val="1"/>
          </rPr>
          <t>Mohammed Zoghian:</t>
        </r>
        <r>
          <rPr>
            <sz val="9"/>
            <color indexed="81"/>
            <rFont val="Tahoma"/>
            <charset val="1"/>
          </rPr>
          <t xml:space="preserve">
Emissionen gehen als zweites Optimierungsziel direkt in die MOMDP ein, über die periodische Emissionsfunktion 
Et(st,at)
E
t
 ​
(s
t
 ​
,a
t
 ​
) (Produktion, Lagerhaltung, Transport) und werden zu kumulativen Emissionen 
CEt
CE
t
 ​
 aufaddiert. Zusätzlich beeinflussen sie das Kostenziel über das Cap-and-Trade-System: Überschreitungen der verfügbaren Zertifikate 
CCt
CC
t
 ​
 führen (spätestens am Horizontende) zu Strafkosten bzw. Handelskosten. </t>
        </r>
      </text>
    </comment>
    <comment ref="C35" authorId="0" shapeId="0" xr:uid="{CF388287-8D75-4505-ADB9-5F52E9437EAD}">
      <text>
        <r>
          <rPr>
            <b/>
            <sz val="9"/>
            <color indexed="81"/>
            <rFont val="Tahoma"/>
            <charset val="1"/>
          </rPr>
          <t>Mohammed Zoghian:</t>
        </r>
        <r>
          <rPr>
            <sz val="9"/>
            <color indexed="81"/>
            <rFont val="Tahoma"/>
            <charset val="1"/>
          </rPr>
          <t xml:space="preserve">
Vermeidung von Blutknappheit</t>
        </r>
      </text>
    </comment>
    <comment ref="G35" authorId="0" shapeId="0" xr:uid="{1DB48122-85C6-49A2-A644-68D9287F6DC1}">
      <text>
        <r>
          <rPr>
            <b/>
            <sz val="9"/>
            <color indexed="81"/>
            <rFont val="Tahoma"/>
            <charset val="1"/>
          </rPr>
          <t>Mohammed Zoghian:</t>
        </r>
        <r>
          <rPr>
            <sz val="9"/>
            <color indexed="81"/>
            <rFont val="Tahoma"/>
            <charset val="1"/>
          </rPr>
          <t xml:space="preserve">
Vermeidung von Blutknappheit</t>
        </r>
      </text>
    </comment>
    <comment ref="B36" authorId="0" shapeId="0" xr:uid="{BBA1E429-92E1-41F8-BD6D-0F667427DC7E}">
      <text>
        <r>
          <rPr>
            <b/>
            <sz val="9"/>
            <color indexed="81"/>
            <rFont val="Tahoma"/>
            <charset val="1"/>
          </rPr>
          <t>Mohammed Zoghian:</t>
        </r>
        <r>
          <rPr>
            <sz val="9"/>
            <color indexed="81"/>
            <rFont val="Tahoma"/>
            <charset val="1"/>
          </rPr>
          <t xml:space="preserve">
Waste: direkt als 
fq,m,t
f
q,m,t
 ​
 (eingefrorener Überschuss) und als gewichtete Summe 
E
Damit ist „Waste“ mathematisch: positive Überdeckung (Surplus), die als Einfrieren modelliert wird und in 
E
E minimiert wird.</t>
        </r>
      </text>
    </comment>
    <comment ref="F36" authorId="0" shapeId="0" xr:uid="{BD56D15B-88A4-45EA-8396-306C5E3E8A71}">
      <text>
        <r>
          <rPr>
            <b/>
            <sz val="9"/>
            <color indexed="81"/>
            <rFont val="Tahoma"/>
            <charset val="1"/>
          </rPr>
          <t>Mohammed Zoghian:</t>
        </r>
        <r>
          <rPr>
            <sz val="9"/>
            <color indexed="81"/>
            <rFont val="Tahoma"/>
            <charset val="1"/>
          </rPr>
          <t xml:space="preserve">
Waste: direkt als 
fq,m,t
f
q,m,t
 ​
 (eingefrorener Überschuss) und als gewichtete Summe 
E
Damit ist „Waste“ mathematisch: positive Überdeckung (Surplus), die als Einfrieren modelliert wird und in 
E
E minimiert wird.</t>
        </r>
      </text>
    </comment>
    <comment ref="B38" authorId="0" shapeId="0" xr:uid="{0E44E33D-F8BE-486C-966B-641BE682D7D5}">
      <text>
        <r>
          <rPr>
            <b/>
            <sz val="9"/>
            <color indexed="81"/>
            <rFont val="Tahoma"/>
            <charset val="1"/>
          </rPr>
          <t>Mohammed Zoghian:</t>
        </r>
        <r>
          <rPr>
            <sz val="9"/>
            <color indexed="81"/>
            <rFont val="Tahoma"/>
            <charset val="1"/>
          </rPr>
          <t xml:space="preserve">
Reduktion von NOx, CO₂, SPM (in g) durch Konsolidierung (UDC/JDS) und weniger Fahrten</t>
        </r>
      </text>
    </comment>
    <comment ref="F38" authorId="0" shapeId="0" xr:uid="{6C7AF8FC-4061-47C7-8713-882A8FFBE494}">
      <text>
        <r>
          <rPr>
            <b/>
            <sz val="9"/>
            <color indexed="81"/>
            <rFont val="Tahoma"/>
            <charset val="1"/>
          </rPr>
          <t>Mohammed Zoghian:</t>
        </r>
        <r>
          <rPr>
            <sz val="9"/>
            <color indexed="81"/>
            <rFont val="Tahoma"/>
            <charset val="1"/>
          </rPr>
          <t xml:space="preserve">
Reduktion von NOx, CO₂, SPM (in g) durch Konsolidierung (UDC/JDS) und weniger Fahrten</t>
        </r>
      </text>
    </comment>
    <comment ref="J38" authorId="0" shapeId="0" xr:uid="{B7A6D7CE-A6BE-42B7-B40E-C372B7A9C45C}">
      <text>
        <r>
          <rPr>
            <b/>
            <sz val="9"/>
            <color indexed="81"/>
            <rFont val="Tahoma"/>
            <charset val="1"/>
          </rPr>
          <t>Mohammed Zoghian:</t>
        </r>
        <r>
          <rPr>
            <sz val="9"/>
            <color indexed="81"/>
            <rFont val="Tahoma"/>
            <charset val="1"/>
          </rPr>
          <t xml:space="preserve">
Emissions-“Limit” löst Beschwerden aus (Residents complain when emissions exceed limit);</t>
        </r>
      </text>
    </comment>
    <comment ref="I39" authorId="0" shapeId="0" xr:uid="{D47E3014-1F9A-4C93-8896-F21EC146DA8D}">
      <text>
        <r>
          <rPr>
            <b/>
            <sz val="9"/>
            <color indexed="81"/>
            <rFont val="Tahoma"/>
            <charset val="1"/>
          </rPr>
          <t>Mohammed Zoghian:</t>
        </r>
        <r>
          <rPr>
            <sz val="9"/>
            <color indexed="81"/>
            <rFont val="Tahoma"/>
            <charset val="1"/>
          </rPr>
          <t xml:space="preserve">
Weniger Verderb“ geht als Outdating-Menge 
TOt
TO
t
 ​
 in die Optimierung ein: Jede abgelaufene und entsorgte Einheit verursacht eine Straf-/Kostenzahlung 
co⋅TOt
c
o
 ​
⋅TO
t
 ​
, die minimiert werden soll. Die Reward/Kostenfunktion pro Periode ist 
rt=co⋅TOt+cs⋅TSt
r
t
 ​
=c
o
 ​
⋅TO
t
 ​
+c
s
 ​
⋅TS
t
 ​
 (und im RL wird oft 
−rt
−r
t
 ​
 als Reward maximiert).</t>
        </r>
      </text>
    </comment>
    <comment ref="C40" authorId="0" shapeId="0" xr:uid="{34A4B2B8-3A5A-4FE1-8C7A-906BD137C31E}">
      <text>
        <r>
          <rPr>
            <b/>
            <sz val="9"/>
            <color indexed="81"/>
            <rFont val="Tahoma"/>
            <charset val="1"/>
          </rPr>
          <t>Mohammed Zoghian:</t>
        </r>
        <r>
          <rPr>
            <sz val="9"/>
            <color indexed="81"/>
            <rFont val="Tahoma"/>
            <charset val="1"/>
          </rPr>
          <t xml:space="preserve">
equity</t>
        </r>
      </text>
    </comment>
    <comment ref="G40" authorId="0" shapeId="0" xr:uid="{C3B3648F-617E-431D-83F3-DB38DF2A56E6}">
      <text>
        <r>
          <rPr>
            <b/>
            <sz val="9"/>
            <color indexed="81"/>
            <rFont val="Tahoma"/>
            <charset val="1"/>
          </rPr>
          <t>Mohammed Zoghian:</t>
        </r>
        <r>
          <rPr>
            <sz val="9"/>
            <color indexed="81"/>
            <rFont val="Tahoma"/>
            <charset val="1"/>
          </rPr>
          <t xml:space="preserve">
equity</t>
        </r>
      </text>
    </comment>
    <comment ref="I40" authorId="0" shapeId="0" xr:uid="{F70FEDE9-94AE-4C0F-A5D8-F06D09926D66}">
      <text>
        <r>
          <rPr>
            <b/>
            <sz val="9"/>
            <color indexed="81"/>
            <rFont val="Tahoma"/>
            <charset val="1"/>
          </rPr>
          <t>Mohammed Zoghian:</t>
        </r>
        <r>
          <rPr>
            <sz val="9"/>
            <color indexed="81"/>
            <rFont val="Tahoma"/>
            <charset val="1"/>
          </rPr>
          <t xml:space="preserve">
Deprivation cost (human suffering), equity via terminal penalty cost; plus delivery/accessibility cost</t>
        </r>
      </text>
    </comment>
    <comment ref="I41" authorId="0" shapeId="0" xr:uid="{52DC4E47-5F80-4B2F-956E-4126E5F81088}">
      <text>
        <r>
          <rPr>
            <b/>
            <sz val="9"/>
            <color indexed="81"/>
            <rFont val="Tahoma"/>
            <charset val="1"/>
          </rPr>
          <t>Mohammed Zoghian:</t>
        </r>
        <r>
          <rPr>
            <sz val="9"/>
            <color indexed="81"/>
            <rFont val="Tahoma"/>
            <charset val="1"/>
          </rPr>
          <t xml:space="preserve">
Emissionen entstehen endogen durch Produktions-, Transport- und Lagerentscheidungen und hängen von der Wahl zwischen grüner und regulärer Technologie ab 
s40314-022-01868-5-1
. Sie gehen nicht direkt in die Zielfunktion ein, sondern wirken über ein Cap-and-Trade-System als Restriktion und verursachen Kosten durch den Kauf von Emissionszertifikaten, was den Gewinn beeinflusst.</t>
        </r>
      </text>
    </comment>
    <comment ref="J41" authorId="0" shapeId="0" xr:uid="{C6667950-D2D1-449C-A34F-9993B06B4EEE}">
      <text>
        <r>
          <rPr>
            <b/>
            <sz val="9"/>
            <color indexed="81"/>
            <rFont val="Tahoma"/>
            <charset val="1"/>
          </rPr>
          <t>Mohammed Zoghian:</t>
        </r>
        <r>
          <rPr>
            <sz val="9"/>
            <color indexed="81"/>
            <rFont val="Tahoma"/>
            <charset val="1"/>
          </rPr>
          <t xml:space="preserve">
Emissionscap (Tot_Allowance) begrenzt Entscheidungen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D31" authorId="0" shapeId="0" xr:uid="{EAFEE0F4-878B-474A-8A7E-37A33675E5C8}">
      <text>
        <r>
          <rPr>
            <b/>
            <sz val="9"/>
            <color indexed="81"/>
            <rFont val="Tahoma"/>
            <family val="2"/>
          </rPr>
          <t>Mohammed Zoghian:</t>
        </r>
        <r>
          <rPr>
            <sz val="9"/>
            <color indexed="81"/>
            <rFont val="Tahoma"/>
            <family val="2"/>
          </rPr>
          <t xml:space="preserve">
zweiphasiges Reverse-Logistics-System modelliert: Customers → Pickup Points → Distribution Centers → (Plant für Refurbishment/Reuse) oder Recycling Center, abhängig von Time-Windows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G5" authorId="0" shapeId="0" xr:uid="{F93F4A4C-64AF-4C38-A9CD-7987FC75922F}">
      <text>
        <r>
          <rPr>
            <b/>
            <sz val="9"/>
            <color indexed="81"/>
            <rFont val="Tahoma"/>
            <charset val="1"/>
          </rPr>
          <t>Mohammed Zoghian:</t>
        </r>
        <r>
          <rPr>
            <sz val="9"/>
            <color indexed="81"/>
            <rFont val="Tahoma"/>
            <charset val="1"/>
          </rPr>
          <t xml:space="preserve">
Multiobjective, weil Kosten minimiert werden und Exposure. Exposure wird jedoch  durch eine lineare Gewichtungsmethode in ein Single-Objective-Problem zu überführen, um es berechenbar zu machen. Außerdem sit die Zielsetzung von Location und Routing entgegengesetzt</t>
        </r>
      </text>
    </comment>
    <comment ref="F6" authorId="0" shapeId="0" xr:uid="{4C420A8D-8EE3-497A-9056-7B92393B0DA7}">
      <text>
        <r>
          <rPr>
            <b/>
            <sz val="9"/>
            <color indexed="81"/>
            <rFont val="Tahoma"/>
            <charset val="1"/>
          </rPr>
          <t>Mohammed Zoghian:</t>
        </r>
        <r>
          <rPr>
            <sz val="9"/>
            <color indexed="81"/>
            <rFont val="Tahoma"/>
            <charset val="1"/>
          </rPr>
          <t xml:space="preserve">
Nutzen eien Tabellenbasierte Architektur, aber definieren nicht egnau was</t>
        </r>
      </text>
    </comment>
    <comment ref="G6" authorId="0" shapeId="0" xr:uid="{7BE2462A-228E-4538-9725-82179B6A67D2}">
      <text>
        <r>
          <rPr>
            <b/>
            <sz val="9"/>
            <color indexed="81"/>
            <rFont val="Tahoma"/>
            <charset val="1"/>
          </rPr>
          <t>Mohammed Zoghian:</t>
        </r>
        <r>
          <rPr>
            <sz val="9"/>
            <color indexed="81"/>
            <rFont val="Tahoma"/>
            <charset val="1"/>
          </rPr>
          <t xml:space="preserve">
Operator-/Heuristik-Auswahl als Adaptive Operator Selection. Entscheidungsfindung / Entscheidungsstrategie lernen</t>
        </r>
      </text>
    </comment>
    <comment ref="Q8" authorId="0" shapeId="0" xr:uid="{ED38A186-F1AF-4713-947A-870F025505F8}">
      <text>
        <r>
          <rPr>
            <b/>
            <sz val="9"/>
            <color indexed="81"/>
            <rFont val="Tahoma"/>
            <charset val="1"/>
          </rPr>
          <t>Mohammed Zoghian:</t>
        </r>
        <r>
          <rPr>
            <sz val="9"/>
            <color indexed="81"/>
            <rFont val="Tahoma"/>
            <charset val="1"/>
          </rPr>
          <t xml:space="preserve">
RL erzeugt schnell gute zulässige Startlösungen, GAN verfeinert sie zu diverseren und oft besseren Pareto-Lösungen.</t>
        </r>
      </text>
    </comment>
    <comment ref="W8" authorId="0" shapeId="0" xr:uid="{B0D6648A-3CF1-4274-B259-5234FB754B91}">
      <text>
        <r>
          <rPr>
            <b/>
            <sz val="9"/>
            <color indexed="81"/>
            <rFont val="Tahoma"/>
            <charset val="1"/>
          </rPr>
          <t>Mohammed Zoghian:</t>
        </r>
        <r>
          <rPr>
            <sz val="9"/>
            <color indexed="81"/>
            <rFont val="Tahoma"/>
            <charset val="1"/>
          </rPr>
          <t xml:space="preserve">
DRL-IMVO-GAN
(Deep Reinforcement Learning - Improved Multiverse Optimizer - Generative Adversarial Network) ist ein hybrides Multi-Objective-Optimierungsframework, das hauptsächlich für komplexe Routing- und Scheduling-Probleme entwickelt wurde</t>
        </r>
      </text>
    </comment>
    <comment ref="G9" authorId="0" shapeId="0" xr:uid="{674AD82E-F45F-4C1C-8A63-D12BA900C4EB}">
      <text>
        <r>
          <rPr>
            <b/>
            <sz val="9"/>
            <color indexed="81"/>
            <rFont val="Tahoma"/>
            <charset val="1"/>
          </rPr>
          <t>Mohammed Zoghian:</t>
        </r>
        <r>
          <rPr>
            <sz val="9"/>
            <color indexed="81"/>
            <rFont val="Tahoma"/>
            <charset val="1"/>
          </rPr>
          <t xml:space="preserve">
Das System versucht Emissionen zu senken, indem es die Disposition/Routen so optimiert, dass Leerfahrten (empty runs) und damit unnötige Kilometer/Fahrzeit reduziert werden. Das wird als zentraler Hebel für weniger Ressourcenverbrauch (z. B. Fuel/Driver time) und damit auch geringere Emissionen dargestellt.</t>
        </r>
      </text>
    </comment>
    <comment ref="F10" authorId="0" shapeId="0" xr:uid="{E9854A18-36F1-4B35-9944-C5D481D359A5}">
      <text>
        <r>
          <rPr>
            <b/>
            <sz val="9"/>
            <color indexed="81"/>
            <rFont val="Tahoma"/>
            <charset val="1"/>
          </rPr>
          <t>Mohammed Zoghian:</t>
        </r>
        <r>
          <rPr>
            <sz val="9"/>
            <color indexed="81"/>
            <rFont val="Tahoma"/>
            <charset val="1"/>
          </rPr>
          <t xml:space="preserve">
Die Methode kombiniert tabellarisches Q-Learning mit heuristisch designten Reward-/Penalty-Strukturen sowie expertenwissensbasiertem Policy-Refinement (AIS-Trajektorien) und entspricht damit einem hybrid knowledge-guided RL-Ansatz.“</t>
        </r>
      </text>
    </comment>
    <comment ref="G11" authorId="0" shapeId="0" xr:uid="{8303CF9F-CDC1-4B24-A5CC-ADDAA21216B6}">
      <text>
        <r>
          <rPr>
            <b/>
            <sz val="9"/>
            <color indexed="81"/>
            <rFont val="Tahoma"/>
            <charset val="1"/>
          </rPr>
          <t>Mohammed Zoghian:</t>
        </r>
        <r>
          <rPr>
            <sz val="9"/>
            <color indexed="81"/>
            <rFont val="Tahoma"/>
            <charset val="1"/>
          </rPr>
          <t xml:space="preserve">
min(Cost, Emission), max(Job creation)
Reward = improvement in solution quality across iterations</t>
        </r>
      </text>
    </comment>
    <comment ref="T11" authorId="0" shapeId="0" xr:uid="{F94B4390-F4BB-4DEA-9A90-D70C983703B3}">
      <text>
        <r>
          <rPr>
            <b/>
            <sz val="9"/>
            <color indexed="81"/>
            <rFont val="Tahoma"/>
            <charset val="1"/>
          </rPr>
          <t>Mohammed Zoghian:</t>
        </r>
        <r>
          <rPr>
            <sz val="9"/>
            <color indexed="81"/>
            <rFont val="Tahoma"/>
            <charset val="1"/>
          </rPr>
          <t xml:space="preserve">
wird die “Policy” als Entscheidungsmatrix 
Me
M
e
 ​
 (Zustände × Aktionen) gespeichert und per Roulette-Wheel ausgewählt und dann direkt mit Rewards aktualisiert (Policy-Matrix-Update), inklusive Offline-/Online-Lernphase.</t>
        </r>
      </text>
    </comment>
    <comment ref="T12" authorId="0" shapeId="0" xr:uid="{18E2AF61-A79B-4A1A-B06D-75F9C9C31521}">
      <text>
        <r>
          <rPr>
            <b/>
            <sz val="9"/>
            <color indexed="81"/>
            <rFont val="Tahoma"/>
            <charset val="1"/>
          </rPr>
          <t>Mohammed Zoghian:</t>
        </r>
        <r>
          <rPr>
            <sz val="9"/>
            <color indexed="81"/>
            <rFont val="Tahoma"/>
            <charset val="1"/>
          </rPr>
          <t xml:space="preserve">
Im Paper  wird eine **Communication-based Recurrent Neural Network (C-RNN)**-Architektur verwendet, im Stil von **DRQN**:
* **Eingangs-Embedding** über **MLPs** (u.a. *TaskMLP* für Observations + MLP für Messages + Lookup für Aktionen/Agententyp) 
* Danach ein **2-lagiges RNN mit GRUs** (in den Experimenten: **128 Neuronen** in Layer 1 und **64 Neuronen** in Layer 2) 
* Ausgabe ist eine **Q-Wert-/Value-Schätzung** (value-based) und daraus die Aktion; zusätzlich gibt es eine **differenzierbare Kommunikationsschicht (DRU/DIAL)** zwischen den Agenten 
</t>
        </r>
      </text>
    </comment>
    <comment ref="AA12" authorId="0" shapeId="0" xr:uid="{9E92BFD9-737E-449A-B067-1C6DAF684E3F}">
      <text>
        <r>
          <rPr>
            <b/>
            <sz val="9"/>
            <color indexed="81"/>
            <rFont val="Tahoma"/>
            <charset val="1"/>
          </rPr>
          <t>Mohammed Zoghian:</t>
        </r>
        <r>
          <rPr>
            <sz val="9"/>
            <color indexed="81"/>
            <rFont val="Tahoma"/>
            <charset val="1"/>
          </rPr>
          <t xml:space="preserve">
TSP-ähnliche Routenentscheidungen (Reihenfolge/Route der Kunden) mit einer Knapsack-ähnlichen Auswahl verbindet (welche Kunden unter Zeit-/Kapazitätsbudget überhaupt besucht werden, um Erlös zu maximieren).</t>
        </r>
      </text>
    </comment>
    <comment ref="Q13" authorId="0" shapeId="0" xr:uid="{A8582399-2B75-4493-B800-2876CBD07E0E}">
      <text>
        <r>
          <rPr>
            <b/>
            <sz val="9"/>
            <color indexed="81"/>
            <rFont val="Tahoma"/>
            <charset val="1"/>
          </rPr>
          <t>Mohammed Zoghian:</t>
        </r>
        <r>
          <rPr>
            <sz val="9"/>
            <color indexed="81"/>
            <rFont val="Tahoma"/>
            <charset val="1"/>
          </rPr>
          <t xml:space="preserve">
NSGA-II legt langfristig die “groben” Vertrags-/Supplier-Setups fest.
RL passt kurzfristig die Order-Anteile dynamisch an, wenn sich Risiken ändern.</t>
        </r>
      </text>
    </comment>
    <comment ref="G14" authorId="0" shapeId="0" xr:uid="{0183B1AA-BF5D-442F-AE40-76C51CDF8746}">
      <text>
        <r>
          <rPr>
            <b/>
            <sz val="9"/>
            <color indexed="81"/>
            <rFont val="Tahoma"/>
            <charset val="1"/>
          </rPr>
          <t>Mohammed Zoghian:</t>
        </r>
        <r>
          <rPr>
            <sz val="9"/>
            <color indexed="81"/>
            <rFont val="Tahoma"/>
            <charset val="1"/>
          </rPr>
          <t xml:space="preserve">
Die RL-Methode in RL-AMIS ist im Kern tabellarisches, multi-agent RL zur Auswahl von “Improvement Boxes (IBs)” innerhalb der Metaheuristik. IBs, die häufig zu Verbesserungen führen, bekommen höhere kumulative Rewards/Attraktivität und werden wahrscheinlicher gewählt; schlechte IBs werden seltener gewählt – und das online während der Optimierung, ohne Offline-Training und ohne neuronales Netz.</t>
        </r>
      </text>
    </comment>
    <comment ref="G15" authorId="0" shapeId="0" xr:uid="{B8BF089B-F3A4-43B3-B170-65E8C674223A}">
      <text>
        <r>
          <rPr>
            <b/>
            <sz val="9"/>
            <color indexed="81"/>
            <rFont val="Tahoma"/>
            <charset val="1"/>
          </rPr>
          <t>Mohammed Zoghian:</t>
        </r>
        <r>
          <rPr>
            <sz val="9"/>
            <color indexed="81"/>
            <rFont val="Tahoma"/>
            <charset val="1"/>
          </rPr>
          <t xml:space="preserve">
das RL wird darauf trainiert, nur echte Kostenverbesserungen zu „belohnen“; schlechtere Moves werden über das SA-Akzeptanzkriterium ggf. trotzdem zugelassen, aber nicht mit negativem Reward bestraft.</t>
        </r>
      </text>
    </comment>
    <comment ref="Q15" authorId="0" shapeId="0" xr:uid="{6960B6C4-D785-430F-AE8F-AB2A56726B7A}">
      <text>
        <r>
          <rPr>
            <b/>
            <sz val="9"/>
            <color indexed="81"/>
            <rFont val="Tahoma"/>
            <charset val="1"/>
          </rPr>
          <t>Mohammed Zoghian:</t>
        </r>
        <r>
          <rPr>
            <sz val="9"/>
            <color indexed="81"/>
            <rFont val="Tahoma"/>
            <charset val="1"/>
          </rPr>
          <t xml:space="preserve">
K-means wird nur benutzt, um die gegebenen Facilities in Cluster (quasi „Routen-Teilprobleme“) zu bündeln, damit das VRP skalierbarer wird—das ist keine Standortwahl, sondern eine Heuristik zur Dekomposition
Simulated Annealing SA steuert weiterhin die Akzeptanz neuer Lösungen über das SA-Akzeptanzkriterium (inkl. Temperatur und Cooling).
RL (Deep Q-Learning) entscheidet, welcher Nachbarschafts-/Suchoperator als nächstes angewendet wird.
Die Reward-Funktion belohnt nur echte Kostenverbesserungen.
Das Ziel von RL ist es also, adaptiv die besten Operatoren auszuwählen, während SA für Exploration sorgt (auch schlechtere Moves können akzeptiert werden).</t>
        </r>
      </text>
    </comment>
    <comment ref="T15" authorId="0" shapeId="0" xr:uid="{4441CACD-C14A-4EB8-A764-D3D97DF90BAD}">
      <text>
        <r>
          <rPr>
            <b/>
            <sz val="9"/>
            <color indexed="81"/>
            <rFont val="Tahoma"/>
            <charset val="1"/>
          </rPr>
          <t>Mohammed Zoghian:</t>
        </r>
        <r>
          <rPr>
            <sz val="9"/>
            <color indexed="81"/>
            <rFont val="Tahoma"/>
            <charset val="1"/>
          </rPr>
          <t xml:space="preserve">
Die NN-Architektur ist ein Actor–Critic mit einem Transformer/Attention-basierten Encoder (der die Problem-/Lösungsmerkmale einbettet), dessen Actor daraus die Parameter einer Gaussian Policy für die Aktionswahl ausgibt und dessen Critic den Zustandswert 
vϕ
v
ϕ
 ​
 schätzt.</t>
        </r>
      </text>
    </comment>
    <comment ref="G16" authorId="0" shapeId="0" xr:uid="{0430F958-40A6-4BDF-B221-227398911790}">
      <text>
        <r>
          <rPr>
            <b/>
            <sz val="9"/>
            <color indexed="81"/>
            <rFont val="Tahoma"/>
            <charset val="1"/>
          </rPr>
          <t>Mohammed Zoghian:</t>
        </r>
        <r>
          <rPr>
            <sz val="9"/>
            <color indexed="81"/>
            <rFont val="Tahoma"/>
            <charset val="1"/>
          </rPr>
          <t xml:space="preserve">
Operator-/Heuristik-Selektion: Reward aus local improvement + Status (Exploration/Exploitation; Diversity) der evolutionären Suche</t>
        </r>
      </text>
    </comment>
    <comment ref="J16" authorId="0" shapeId="0" xr:uid="{010591EB-6771-4072-9FED-A68030A6F471}">
      <text>
        <r>
          <rPr>
            <b/>
            <sz val="9"/>
            <color indexed="81"/>
            <rFont val="Tahoma"/>
            <charset val="1"/>
          </rPr>
          <t>Mohammed Zoghian:</t>
        </r>
        <r>
          <rPr>
            <sz val="9"/>
            <color indexed="81"/>
            <rFont val="Tahoma"/>
            <charset val="1"/>
          </rPr>
          <t xml:space="preserve">
Ja – der RL-Agent selbst optimiert effektiv ein skalare Reward-Signal, also single objective im RL-Sinn.
Der Multiobjective-Teil liegt im Optimierungsproblem/Algorithmus außen herum (Pareto-Suche der Hyper-Heuristik); der RL-Agent lernt nur, welcher Operator im Mittel den „besten“ (skalarisierten) Fortschritt bringt.</t>
        </r>
      </text>
    </comment>
    <comment ref="X18" authorId="0" shapeId="0" xr:uid="{F3302035-B47B-482C-86C6-84D7C07D888E}">
      <text>
        <r>
          <rPr>
            <b/>
            <sz val="9"/>
            <color indexed="81"/>
            <rFont val="Tahoma"/>
            <charset val="1"/>
          </rPr>
          <t>Mohammed Zoghian:</t>
        </r>
        <r>
          <rPr>
            <sz val="9"/>
            <color indexed="81"/>
            <rFont val="Tahoma"/>
            <charset val="1"/>
          </rPr>
          <t xml:space="preserve">
Self-collected Real-World LCSC-Daten 2019–2023</t>
        </r>
      </text>
    </comment>
    <comment ref="Q19" authorId="0" shapeId="0" xr:uid="{2729FE79-FE46-4C59-8B4A-E077F8120E0D}">
      <text>
        <r>
          <rPr>
            <b/>
            <sz val="9"/>
            <color indexed="81"/>
            <rFont val="Tahoma"/>
            <charset val="1"/>
          </rPr>
          <t>Mohammed Zoghian:</t>
        </r>
        <r>
          <rPr>
            <sz val="9"/>
            <color indexed="81"/>
            <rFont val="Tahoma"/>
            <charset val="1"/>
          </rPr>
          <t xml:space="preserve">
 A sim-
ple 2-opt local search is performed based on the resulting solution, which can make up for the
deficiency of decoder error decoding in the transformer and optimize the resulting solution
of the low-carbon MDVRP</t>
        </r>
      </text>
    </comment>
    <comment ref="T19" authorId="0" shapeId="0" xr:uid="{2EADA580-91A1-4B86-A526-B6F3736C5029}">
      <text>
        <r>
          <rPr>
            <b/>
            <sz val="9"/>
            <color indexed="81"/>
            <rFont val="Tahoma"/>
            <charset val="1"/>
          </rPr>
          <t>Mohammed Zoghian:</t>
        </r>
        <r>
          <rPr>
            <sz val="9"/>
            <color indexed="81"/>
            <rFont val="Tahoma"/>
            <charset val="1"/>
          </rPr>
          <t xml:space="preserve">
Encoder-Decoder Transformer mit Multi-Head Attention + Attention-on-Attention (AOA</t>
        </r>
      </text>
    </comment>
    <comment ref="Q21" authorId="0" shapeId="0" xr:uid="{719DC658-77BE-4D35-9BB2-AA4DE7A093D5}">
      <text>
        <r>
          <rPr>
            <b/>
            <sz val="9"/>
            <color indexed="81"/>
            <rFont val="Tahoma"/>
            <family val="2"/>
          </rPr>
          <t>Mohammed Zoghian:</t>
        </r>
        <r>
          <rPr>
            <sz val="9"/>
            <color indexed="81"/>
            <rFont val="Tahoma"/>
            <family val="2"/>
          </rPr>
          <t xml:space="preserve">
NSGA-II erzeugt zuerst eine Pareto-Menge strategischer Sourcing-Konfigurationen (Trade-off Kosten vs. CO₂). Danach wird für jede gewählte Konfiguration ein DQN-Agent trainiert, der diese Strategie operativ wöchentlich (green vs. non-green) adaptiv umsetzt.</t>
        </r>
      </text>
    </comment>
    <comment ref="Q22" authorId="0" shapeId="0" xr:uid="{09C10D31-31CA-448B-9CE3-C0644A7EE616}">
      <text>
        <r>
          <rPr>
            <b/>
            <sz val="9"/>
            <color indexed="81"/>
            <rFont val="Tahoma"/>
            <family val="2"/>
          </rPr>
          <t>Mohammed Zoghian:</t>
        </r>
        <r>
          <rPr>
            <sz val="9"/>
            <color indexed="81"/>
            <rFont val="Tahoma"/>
            <family val="2"/>
          </rPr>
          <t xml:space="preserve">
NSGA-II + RL + Neighborhood Search)</t>
        </r>
      </text>
    </comment>
    <comment ref="Y22" authorId="0" shapeId="0" xr:uid="{17258DF1-4C10-4C31-A8B8-9AFA60171016}">
      <text>
        <r>
          <rPr>
            <b/>
            <sz val="9"/>
            <color indexed="81"/>
            <rFont val="Tahoma"/>
            <family val="2"/>
          </rPr>
          <t>Mohammed Zoghian:</t>
        </r>
        <r>
          <rPr>
            <sz val="9"/>
            <color indexed="81"/>
            <rFont val="Tahoma"/>
            <family val="2"/>
          </rPr>
          <t xml:space="preserve">
Ja (Instanzen basieren auf Felddaten Jingtang Port, dann randomisiert generiert)</t>
        </r>
      </text>
    </comment>
    <comment ref="R23" authorId="0" shapeId="0" xr:uid="{F985E81D-C840-4869-BA55-77A21FDC8941}">
      <text>
        <r>
          <rPr>
            <b/>
            <sz val="9"/>
            <color indexed="81"/>
            <rFont val="Tahoma"/>
            <family val="2"/>
          </rPr>
          <t>Mohammed Zoghian:</t>
        </r>
        <r>
          <rPr>
            <sz val="9"/>
            <color indexed="81"/>
            <rFont val="Tahoma"/>
            <family val="2"/>
          </rPr>
          <t xml:space="preserve">
No – independent tabular Q-learning per agent, no centralized critic/training</t>
        </r>
      </text>
    </comment>
    <comment ref="W23" authorId="0" shapeId="0" xr:uid="{AA92B257-5FC9-4D34-935F-49EF2652204A}">
      <text>
        <r>
          <rPr>
            <b/>
            <sz val="9"/>
            <color indexed="81"/>
            <rFont val="Tahoma"/>
            <family val="2"/>
          </rPr>
          <t>Mohammed Zoghian:</t>
        </r>
        <r>
          <rPr>
            <sz val="9"/>
            <color indexed="81"/>
            <rFont val="Tahoma"/>
            <family val="2"/>
          </rPr>
          <t xml:space="preserve">
Baseline linear SC: no reuse/no recycle (dispose-only) + scenario comparisons</t>
        </r>
      </text>
    </comment>
    <comment ref="X23" authorId="0" shapeId="0" xr:uid="{84B9472F-ED32-4374-844C-B5E2B73F19DD}">
      <text>
        <r>
          <rPr>
            <b/>
            <sz val="9"/>
            <color indexed="81"/>
            <rFont val="Tahoma"/>
            <family val="2"/>
          </rPr>
          <t>Mohammed Zoghian:</t>
        </r>
        <r>
          <rPr>
            <sz val="9"/>
            <color indexed="81"/>
            <rFont val="Tahoma"/>
            <family val="2"/>
          </rPr>
          <t xml:space="preserve">
die Simulation ist mit Real-World-Parametern aus der industriellen Fallstudie gespeist. überwiegend synthetisch/simulationsbasiert. Das Q-Learning wird in einer Simulation über Episoden/Perioden trainiert (Algorithmus + “simulation of the Q-learning model helps in learning the optimal policies”). 
Trainiert in Simulation, parametriert mit realen (historischen) Daten, getestet via Szenarien auf dem realen Fallbeispiel (keine “live” Real-World Trainings-/Testläufe im Feld beschrieben).</t>
        </r>
      </text>
    </comment>
    <comment ref="Y23" authorId="0" shapeId="0" xr:uid="{94C3CED1-2F59-448A-B59B-D92EF3D01D9F}">
      <text>
        <r>
          <rPr>
            <b/>
            <sz val="9"/>
            <color indexed="81"/>
            <rFont val="Tahoma"/>
            <family val="2"/>
          </rPr>
          <t>Mohammed Zoghian:</t>
        </r>
        <r>
          <rPr>
            <sz val="9"/>
            <color indexed="81"/>
            <rFont val="Tahoma"/>
            <family val="2"/>
          </rPr>
          <t xml:space="preserve">
Tests/Evaluation: sie berichten Ergebnisse über Szenario-Analysen (Scenario 1–4) auf Basis des realen Industrial Case (GE HealthCare, 53 Komponenten) – das sind also synthetische Szenarien, aber realitätsnah parametriert durch die Case-Daten.</t>
        </r>
      </text>
    </comment>
    <comment ref="Q24" authorId="0" shapeId="0" xr:uid="{D961322B-167F-43B1-B329-CB68462B8DA0}">
      <text>
        <r>
          <rPr>
            <b/>
            <sz val="9"/>
            <color indexed="81"/>
            <rFont val="Tahoma"/>
            <family val="2"/>
          </rPr>
          <t>Mohammed Zoghian:</t>
        </r>
        <r>
          <rPr>
            <sz val="9"/>
            <color indexed="81"/>
            <rFont val="Tahoma"/>
            <family val="2"/>
          </rPr>
          <t xml:space="preserve">
Der hybride Ansatz kombiniert Reinforcement Learning, das in einer dynamischen Umgebung lernt, welche Zuordnungen/Routen „gut“ sind (z. B. für weniger CO₂), mit klassischen Optimierungsalgorithmen, die daraus effizient eine konkrete optimale Lösung berechnen. Konkret: DDQN bewertet/steuert, während Hungarian (Matching) sowie Dijkstra/A* (Routing) die eigentliche Zuordnung bzw. Route berechnen.</t>
        </r>
      </text>
    </comment>
    <comment ref="T24" authorId="0" shapeId="0" xr:uid="{BD22F9FE-7E13-46E8-A89A-00518843EFC7}">
      <text>
        <r>
          <rPr>
            <b/>
            <sz val="9"/>
            <color indexed="81"/>
            <rFont val="Tahoma"/>
            <family val="2"/>
          </rPr>
          <t>Mohammed Zoghian:</t>
        </r>
        <r>
          <rPr>
            <sz val="9"/>
            <color indexed="81"/>
            <rFont val="Tahoma"/>
            <family val="2"/>
          </rPr>
          <t xml:space="preserve">
CNN-BiGRU (State Recognition) + Fully Connected Q-Network</t>
        </r>
      </text>
    </comment>
    <comment ref="G26" authorId="0" shapeId="0" xr:uid="{C58BF5ED-AA15-48E4-913C-07DC6589E15B}">
      <text>
        <r>
          <rPr>
            <b/>
            <sz val="9"/>
            <color indexed="81"/>
            <rFont val="Tahoma"/>
            <family val="2"/>
          </rPr>
          <t>Mohammed Zoghian:</t>
        </r>
        <r>
          <rPr>
            <sz val="9"/>
            <color indexed="81"/>
            <rFont val="Tahoma"/>
            <family val="2"/>
          </rPr>
          <t xml:space="preserve">
Weighted reward: Profit + Loyalty − CO₂</t>
        </r>
      </text>
    </comment>
    <comment ref="Q26" authorId="0" shapeId="0" xr:uid="{E772BDFA-C013-4F75-B430-9EB2FA645977}">
      <text>
        <r>
          <rPr>
            <b/>
            <sz val="9"/>
            <color indexed="81"/>
            <rFont val="Tahoma"/>
            <family val="2"/>
          </rPr>
          <t>Mohammed Zoghian:</t>
        </r>
        <r>
          <rPr>
            <sz val="9"/>
            <color indexed="81"/>
            <rFont val="Tahoma"/>
            <family val="2"/>
          </rPr>
          <t xml:space="preserve">
Die Autoren verwenden „dynamic game“, um strategische Interaktionen mehrerer Akteure zu modellieren (Seller, Customers, Competitors). Jeder Akteur trifft Entscheidungen zustandsabhängig und unter Antizipation möglicher Reaktionen der anderen, und die Effekte hängen auch von der Historie ab.</t>
        </r>
      </text>
    </comment>
    <comment ref="W26" authorId="0" shapeId="0" xr:uid="{EC50022F-A225-4DEF-BF61-17AF77829467}">
      <text>
        <r>
          <rPr>
            <b/>
            <sz val="9"/>
            <color indexed="81"/>
            <rFont val="Tahoma"/>
            <family val="2"/>
          </rPr>
          <t>Mohammed Zoghian:</t>
        </r>
        <r>
          <rPr>
            <sz val="9"/>
            <color indexed="81"/>
            <rFont val="Tahoma"/>
            <family val="2"/>
          </rPr>
          <t xml:space="preserve">
Static PPO
PPO-Variante ohne dynamische Datenupdates (also “nicht-dynamisch”).
Traditional Optimization-Based Model (Weighted-Sum)
klassisches multiobjektives Optimierungsmodell über gewichtete Summe (Profit, Loyalty, CO₂).
NSGA-II
Standard multi-objective evolutionary algorithm (Metaheuristik) als Benchmark für Pareto-Lösungen.</t>
        </r>
      </text>
    </comment>
    <comment ref="F27" authorId="0" shapeId="0" xr:uid="{301013DD-5194-42C7-A170-2E64A901DFFE}">
      <text>
        <r>
          <rPr>
            <b/>
            <sz val="9"/>
            <color indexed="81"/>
            <rFont val="Tahoma"/>
            <family val="2"/>
          </rPr>
          <t>Mohammed Zoghian:</t>
        </r>
        <r>
          <rPr>
            <sz val="9"/>
            <color indexed="81"/>
            <rFont val="Tahoma"/>
            <family val="2"/>
          </rPr>
          <t xml:space="preserve">
Spoilage wird indirekt durch mehrere Agenten minimiert:
🔹 Routing-Agent (Q-Learning)
Vermeidet Stau
Minimiert Transitzeit
Wählt Pfade mit geringem Risiko
🔹 Temperature-Agent (DDPG)
Reguliert Kühlleistung kontinuierlich
Minimiert Temperaturabweichung
Balanciert Energie vs. Qualität
🔹 Inventory-Agent (Actor–Critic)
Optimiert Bestellmengen
Reduziert Lagerzeit
Verhindert Überbestand
🔹 Delivery-Scheduling-Agent
Koordiniert Auslieferung
Minimiert SLA-Verletzungen
Kein PPO
Kein explizites A2C
Actor–Critic wird als Oberbegriff genutzt
</t>
        </r>
      </text>
    </comment>
    <comment ref="I27" authorId="0" shapeId="0" xr:uid="{4F4C3ECE-EC4E-4DE2-9D35-5F6770966059}">
      <text>
        <r>
          <rPr>
            <b/>
            <sz val="9"/>
            <color indexed="81"/>
            <rFont val="Tahoma"/>
            <family val="2"/>
          </rPr>
          <t>Mohammed Zoghian:</t>
        </r>
        <r>
          <rPr>
            <sz val="9"/>
            <color indexed="81"/>
            <rFont val="Tahoma"/>
            <family val="2"/>
          </rPr>
          <t xml:space="preserve">
Nicht konkret spezifiziert was für Algorithmus verwednet wird. Nur Q Learning und Actor-Critic werden anbgegeben</t>
        </r>
      </text>
    </comment>
    <comment ref="S27" authorId="0" shapeId="0" xr:uid="{842C7203-74B8-4957-9625-768301F715C8}">
      <text>
        <r>
          <rPr>
            <b/>
            <sz val="9"/>
            <color indexed="81"/>
            <rFont val="Tahoma"/>
            <family val="2"/>
          </rPr>
          <t>Mohammed Zoghian:</t>
        </r>
        <r>
          <rPr>
            <sz val="9"/>
            <color indexed="81"/>
            <rFont val="Tahoma"/>
            <family val="2"/>
          </rPr>
          <t xml:space="preserve">
Ja (Q-Table in Routing-Algorithmus)</t>
        </r>
      </text>
    </comment>
    <comment ref="X28" authorId="0" shapeId="0" xr:uid="{636266DE-F674-4E88-9EE6-CC09EC5B6710}">
      <text>
        <r>
          <rPr>
            <b/>
            <sz val="9"/>
            <color indexed="81"/>
            <rFont val="Tahoma"/>
            <family val="2"/>
          </rPr>
          <t>Mohammed Zoghian:</t>
        </r>
        <r>
          <rPr>
            <sz val="9"/>
            <color indexed="81"/>
            <rFont val="Tahoma"/>
            <family val="2"/>
          </rPr>
          <t xml:space="preserve">
Sie haben reale, anonymisierte Kartoffel-Daten aus der nosh-App (12 Monate, Dez 2020–Nov 2021) verwendet und das Q-Learning-Setup in der Consumption-Phase darauf angewendet. Getestet wurde, indem der Original-Waste (O.W) aus den App-Daten mit dem vom Modell berechneten Waste 
W0
W0 (für verschiedene 
f
f) verglichen wurde; bestes Ergebnis: ~9,46% weniger Waste.</t>
        </r>
      </text>
    </comment>
    <comment ref="F29" authorId="0" shapeId="0" xr:uid="{9EEFDE5E-AAB7-4A4F-8567-8F626775B1F5}">
      <text>
        <r>
          <rPr>
            <b/>
            <sz val="9"/>
            <color indexed="81"/>
            <rFont val="Tahoma"/>
            <family val="2"/>
          </rPr>
          <t>Mohammed Zoghian:</t>
        </r>
        <r>
          <rPr>
            <sz val="9"/>
            <color indexed="81"/>
            <rFont val="Tahoma"/>
            <family val="2"/>
          </rPr>
          <t xml:space="preserve">
Es wurde ein Attention-basiertes Deep Reinforcement Learning (DRL)-Modell eingesetzt.</t>
        </r>
      </text>
    </comment>
    <comment ref="T29" authorId="0" shapeId="0" xr:uid="{6B61A027-3D2A-4524-82EC-F01326DF8FE7}">
      <text>
        <r>
          <rPr>
            <b/>
            <sz val="9"/>
            <color indexed="81"/>
            <rFont val="Tahoma"/>
            <family val="2"/>
          </rPr>
          <t>Mohammed Zoghian:</t>
        </r>
        <r>
          <rPr>
            <sz val="9"/>
            <color indexed="81"/>
            <rFont val="Tahoma"/>
            <family val="2"/>
          </rPr>
          <t xml:space="preserve">
Seq2Seq</t>
        </r>
      </text>
    </comment>
    <comment ref="W29" authorId="0" shapeId="0" xr:uid="{3E167CD3-FB28-4BCD-B50C-E3ED88FF7B9F}">
      <text>
        <r>
          <rPr>
            <b/>
            <sz val="9"/>
            <color indexed="81"/>
            <rFont val="Tahoma"/>
            <family val="2"/>
          </rPr>
          <t>Mohammed Zoghian:</t>
        </r>
        <r>
          <rPr>
            <sz val="9"/>
            <color indexed="81"/>
            <rFont val="Tahoma"/>
            <family val="2"/>
          </rPr>
          <t xml:space="preserve">
Die Performance des DRL wird über den „optimality gap“ relativ zum best result bewertet (also zur besten gefundenen Lösung in den Experimenten)</t>
        </r>
      </text>
    </comment>
    <comment ref="G30" authorId="0" shapeId="0" xr:uid="{27EB1AB8-9288-48BF-BE7E-A96A1C50B918}">
      <text>
        <r>
          <rPr>
            <b/>
            <sz val="9"/>
            <color indexed="81"/>
            <rFont val="Tahoma"/>
            <family val="2"/>
          </rPr>
          <t>Mohammed Zoghian:</t>
        </r>
        <r>
          <rPr>
            <sz val="9"/>
            <color indexed="81"/>
            <rFont val="Tahoma"/>
            <family val="2"/>
          </rPr>
          <t xml:space="preserve">
Wenn eine gewählte Strategie “gut” ist, wird ihre Auswahlwahrscheinlichkeit hochskaliert (×
1+α
1+α); wenn “schlecht”, wird sie herunter skaliert</t>
        </r>
      </text>
    </comment>
    <comment ref="Q30" authorId="0" shapeId="0" xr:uid="{947463EF-6E18-4257-AA0A-4294B9026BE9}">
      <text>
        <r>
          <rPr>
            <b/>
            <sz val="9"/>
            <color indexed="81"/>
            <rFont val="Tahoma"/>
            <family val="2"/>
          </rPr>
          <t>Mohammed Zoghian:</t>
        </r>
        <r>
          <rPr>
            <sz val="9"/>
            <color indexed="81"/>
            <rFont val="Tahoma"/>
            <family val="2"/>
          </rPr>
          <t xml:space="preserve">
Water Wave Optimization (Swarm Intelligence)
</t>
        </r>
      </text>
    </comment>
    <comment ref="W30" authorId="0" shapeId="0" xr:uid="{9C2FD3E8-CCEB-4182-BE24-12895BFDCC86}">
      <text>
        <r>
          <rPr>
            <b/>
            <sz val="9"/>
            <color indexed="81"/>
            <rFont val="Tahoma"/>
            <family val="2"/>
          </rPr>
          <t>Mohammed Zoghian:</t>
        </r>
        <r>
          <rPr>
            <sz val="9"/>
            <color indexed="81"/>
            <rFont val="Tahoma"/>
            <family val="2"/>
          </rPr>
          <t xml:space="preserve">
MOPSO = Multi-Objective Particle Swarm OptimizationMOGA = Multi-Objective Genetic Algorithm</t>
        </r>
      </text>
    </comment>
    <comment ref="G31" authorId="0" shapeId="0" xr:uid="{EC5E8212-22D4-4A72-987E-5FCF4E178D8C}">
      <text>
        <r>
          <rPr>
            <b/>
            <sz val="9"/>
            <color indexed="81"/>
            <rFont val="Tahoma"/>
            <family val="2"/>
          </rPr>
          <t>Mohammed Zoghian:</t>
        </r>
        <r>
          <rPr>
            <sz val="9"/>
            <color indexed="81"/>
            <rFont val="Tahoma"/>
            <family val="2"/>
          </rPr>
          <t xml:space="preserve">
Automatische Anpassung von GA-Hyperparametern (Crossover-Rate 
Pc
P
c
 ​
, Mutationsrate 
Pm
P
m
 ​
) zur Verbesserung der Lösungsqualität/Fitness</t>
        </r>
      </text>
    </comment>
    <comment ref="Q31" authorId="0" shapeId="0" xr:uid="{B8E7D6BE-CFA1-4781-9616-C44CE46A5D0C}">
      <text>
        <r>
          <rPr>
            <b/>
            <sz val="9"/>
            <color indexed="81"/>
            <rFont val="Tahoma"/>
            <family val="2"/>
          </rPr>
          <t>Mohammed Zoghian:</t>
        </r>
        <r>
          <rPr>
            <sz val="9"/>
            <color indexed="81"/>
            <rFont val="Tahoma"/>
            <family val="2"/>
          </rPr>
          <t xml:space="preserve">
GA</t>
        </r>
      </text>
    </comment>
    <comment ref="G32" authorId="0" shapeId="0" xr:uid="{4EAB47EB-37F8-4AEC-A196-3A5BC12F5C51}">
      <text>
        <r>
          <rPr>
            <b/>
            <sz val="9"/>
            <color indexed="81"/>
            <rFont val="Tahoma"/>
            <family val="2"/>
          </rPr>
          <t>Mohammed Zoghian:</t>
        </r>
        <r>
          <rPr>
            <sz val="9"/>
            <color indexed="81"/>
            <rFont val="Tahoma"/>
            <family val="2"/>
          </rPr>
          <t xml:space="preserve">
Strategieauswahl / Framework-Selection (nicht direkt die 2 Ziele; Reward über HV-Verbesserung)</t>
        </r>
      </text>
    </comment>
    <comment ref="K32" authorId="0" shapeId="0" xr:uid="{46739A35-3934-41A2-B08B-7B0567FACD0D}">
      <text>
        <r>
          <rPr>
            <b/>
            <sz val="9"/>
            <color indexed="81"/>
            <rFont val="Tahoma"/>
            <family val="2"/>
          </rPr>
          <t>Mohammed Zoghian:</t>
        </r>
        <r>
          <rPr>
            <sz val="9"/>
            <color indexed="81"/>
            <rFont val="Tahoma"/>
            <family val="2"/>
          </rPr>
          <t xml:space="preserve">
Multi-objective wird erreicht, weil (i) zwei Ziele im Modell stehen und (ii) der Algorithmus Pareto-Dominanz + Pareto-Archive verwendet und die RL-Komponente mit Hypervolume die Qualität der gesamten Pareto-Menge steuert.</t>
        </r>
      </text>
    </comment>
    <comment ref="Q32" authorId="0" shapeId="0" xr:uid="{1B903D5C-49D1-4DA0-885A-1F150C401C43}">
      <text>
        <r>
          <rPr>
            <b/>
            <sz val="9"/>
            <color indexed="81"/>
            <rFont val="Tahoma"/>
            <family val="2"/>
          </rPr>
          <t>Mohammed Zoghian:</t>
        </r>
        <r>
          <rPr>
            <sz val="9"/>
            <color indexed="81"/>
            <rFont val="Tahoma"/>
            <family val="2"/>
          </rPr>
          <t xml:space="preserve">
Q-learning + Cooperative EA + problem knowledge</t>
        </r>
      </text>
    </comment>
    <comment ref="W32" authorId="0" shapeId="0" xr:uid="{C5374FA7-88BD-40EE-AE9E-3508F1F8336A}">
      <text>
        <r>
          <rPr>
            <b/>
            <sz val="9"/>
            <color indexed="81"/>
            <rFont val="Tahoma"/>
            <family val="2"/>
          </rPr>
          <t>Mohammed Zoghian:</t>
        </r>
        <r>
          <rPr>
            <sz val="9"/>
            <color indexed="81"/>
            <rFont val="Tahoma"/>
            <family val="2"/>
          </rPr>
          <t xml:space="preserve">
NSGA-II, MOEA/D, MOABC + CPLEX; zudem Varianten R-CEA-K, Q-CEA</t>
        </r>
      </text>
    </comment>
    <comment ref="J33" authorId="0" shapeId="0" xr:uid="{96999CC9-8A8C-495A-84F6-90E5B2508DAE}">
      <text>
        <r>
          <rPr>
            <b/>
            <sz val="9"/>
            <color indexed="81"/>
            <rFont val="Tahoma"/>
            <charset val="1"/>
          </rPr>
          <t>Mohammed Zoghian:</t>
        </r>
        <r>
          <rPr>
            <sz val="9"/>
            <color indexed="81"/>
            <rFont val="Tahoma"/>
            <charset val="1"/>
          </rPr>
          <t xml:space="preserve">
min. total system cost / reward-getrieben</t>
        </r>
      </text>
    </comment>
    <comment ref="T33" authorId="0" shapeId="0" xr:uid="{214496EF-5EF2-401B-9819-1D476D099F9D}">
      <text>
        <r>
          <rPr>
            <b/>
            <sz val="9"/>
            <color indexed="81"/>
            <rFont val="Tahoma"/>
            <charset val="1"/>
          </rPr>
          <t>Mohammed Zoghian:</t>
        </r>
        <r>
          <rPr>
            <sz val="9"/>
            <color indexed="81"/>
            <rFont val="Tahoma"/>
            <charset val="1"/>
          </rPr>
          <t xml:space="preserve">
Graph Attention Network (GAT) + Multi-head/Single-head Attention + Softmax (Decoder)</t>
        </r>
      </text>
    </comment>
    <comment ref="K34" authorId="0" shapeId="0" xr:uid="{295F5754-1636-4737-852D-735AE00EEA96}">
      <text>
        <r>
          <rPr>
            <b/>
            <sz val="9"/>
            <color indexed="81"/>
            <rFont val="Tahoma"/>
            <charset val="1"/>
          </rPr>
          <t>Mohammed Zoghian:</t>
        </r>
        <r>
          <rPr>
            <sz val="9"/>
            <color indexed="81"/>
            <rFont val="Tahoma"/>
            <charset val="1"/>
          </rPr>
          <t xml:space="preserve">
Der Reward ist im Paper als zweidimensionaler Reward-Vektor definiert, bestehend aus periodischen Gesamtkosten (inkl. Carbon-Trading und ggf. Strafterm am Ende) und periodischen GHG-Emissionen (Produktion, Lager, Transport). </t>
        </r>
      </text>
    </comment>
    <comment ref="T34" authorId="0" shapeId="0" xr:uid="{EAD65BF9-DDD0-405E-AA92-04E30A9F1BF0}">
      <text>
        <r>
          <rPr>
            <b/>
            <sz val="9"/>
            <color indexed="81"/>
            <rFont val="Tahoma"/>
            <charset val="1"/>
          </rPr>
          <t>Mohammed Zoghian:</t>
        </r>
        <r>
          <rPr>
            <sz val="9"/>
            <color indexed="81"/>
            <rFont val="Tahoma"/>
            <charset val="1"/>
          </rPr>
          <t xml:space="preserve">
EMOQL ist im Kern Q-Learning (wertbasiert), aber mit einem neuronalen Netz als Funktionsapproximation – also „Deep Q-Learning“ im weiteren Sinn. DQN ist eine spezifische Deep-Q-Learning-Variante (klassisch: Experience Replay + Target Network usw.). Das Paper sagt hier nur, dass EMOQL ein neuronales Netz nutzt und 
ϵ
ϵ-greedy trainiert; ob es exakt die vollständige DQN-Mechanik verwendet, wird in dem Ausschnitt nicht detailliert festgelegt.</t>
        </r>
      </text>
    </comment>
    <comment ref="W34" authorId="0" shapeId="0" xr:uid="{F46A3FB3-C9A0-44B5-8F6B-E81EB42B2647}">
      <text>
        <r>
          <rPr>
            <b/>
            <sz val="9"/>
            <color indexed="81"/>
            <rFont val="Tahoma"/>
            <charset val="1"/>
          </rPr>
          <t>Mohammed Zoghian:</t>
        </r>
        <r>
          <rPr>
            <sz val="9"/>
            <color indexed="81"/>
            <rFont val="Tahoma"/>
            <charset val="1"/>
          </rPr>
          <t xml:space="preserve">
Sie “entfernen” die Nachhaltigkeits-/Emissionskomponente (kein Emissionsziel, kein Carbon-Trading) und trainieren darauf eine konventionelle Policy; anschließend testen sie diese im nachhaltigen Cap-and-Trade-Setting, um den Effekt des weggelassenen Modulteils zu zeigen.</t>
        </r>
      </text>
    </comment>
    <comment ref="K35" authorId="0" shapeId="0" xr:uid="{ADD1696B-662B-4D0D-B785-D195FC5B7B5F}">
      <text>
        <r>
          <rPr>
            <b/>
            <sz val="9"/>
            <color indexed="81"/>
            <rFont val="Tahoma"/>
            <charset val="1"/>
          </rPr>
          <t>Mohammed Zoghian:</t>
        </r>
        <r>
          <rPr>
            <sz val="9"/>
            <color indexed="81"/>
            <rFont val="Tahoma"/>
            <charset val="1"/>
          </rPr>
          <t xml:space="preserve">
mehrkriterielle Motivation, aber scalarized reward. m Paper werden zwar mehrere Ziele adressiert (Shortage minimieren, Wastage minimieren, ggf. Penalties/Erfüllung), aber sie werden zu einem einzigen skalaren Reward zusammengefasst (gewichtete Summe/Strafterm). Damit optimiert der Agent eine Zielfunktion.</t>
        </r>
      </text>
    </comment>
    <comment ref="Y35" authorId="0" shapeId="0" xr:uid="{6EF98B37-34BF-4049-9ACC-0BF6301B23A3}">
      <text>
        <r>
          <rPr>
            <b/>
            <sz val="9"/>
            <color indexed="81"/>
            <rFont val="Tahoma"/>
            <charset val="1"/>
          </rPr>
          <t>Mohammed Zoghian:</t>
        </r>
        <r>
          <rPr>
            <sz val="9"/>
            <color indexed="81"/>
            <rFont val="Tahoma"/>
            <charset val="1"/>
          </rPr>
          <t xml:space="preserve">
Empirische Daten/Statistiken aus realer Blood SC Tabriz/Eastern Azerbaijan zur Parametrisierung &amp; Vergleich</t>
        </r>
      </text>
    </comment>
    <comment ref="I36" authorId="0" shapeId="0" xr:uid="{242364E9-3666-4A81-8883-B3F2A68B29C9}">
      <text>
        <r>
          <rPr>
            <b/>
            <sz val="9"/>
            <color indexed="81"/>
            <rFont val="Tahoma"/>
            <charset val="1"/>
          </rPr>
          <t>Mohammed Zoghian:</t>
        </r>
        <r>
          <rPr>
            <sz val="9"/>
            <color indexed="81"/>
            <rFont val="Tahoma"/>
            <charset val="1"/>
          </rPr>
          <t xml:space="preserve">
2 Agenten: Quality Balancing + Delivery Rescheduling, sequentiell ausgeführt</t>
        </r>
      </text>
    </comment>
    <comment ref="Y36" authorId="0" shapeId="0" xr:uid="{F94FF592-1B00-4AF9-A357-49427654A41A}">
      <text>
        <r>
          <rPr>
            <b/>
            <sz val="9"/>
            <color indexed="81"/>
            <rFont val="Tahoma"/>
            <charset val="1"/>
          </rPr>
          <t>Mohammed Zoghian:</t>
        </r>
        <r>
          <rPr>
            <sz val="9"/>
            <color indexed="81"/>
            <rFont val="Tahoma"/>
            <charset val="1"/>
          </rPr>
          <t xml:space="preserve">
Validierung/Ergebnisse beim Hersteller berichtet</t>
        </r>
      </text>
    </comment>
    <comment ref="W37" authorId="0" shapeId="0" xr:uid="{C8E72C95-A5DF-4BF2-AEE6-559D56B0933A}">
      <text>
        <r>
          <rPr>
            <b/>
            <sz val="9"/>
            <color indexed="81"/>
            <rFont val="Tahoma"/>
            <charset val="1"/>
          </rPr>
          <t>Mohammed Zoghian:</t>
        </r>
        <r>
          <rPr>
            <sz val="9"/>
            <color indexed="81"/>
            <rFont val="Tahoma"/>
            <charset val="1"/>
          </rPr>
          <t xml:space="preserve">
Base-stock; BSP-low-EW; also “unshaped” DQN as reference (wihthout reward shaping)</t>
        </r>
      </text>
    </comment>
    <comment ref="G38" authorId="0" shapeId="0" xr:uid="{2DDA8677-6A2B-4714-81AF-0E33BCB08F23}">
      <text>
        <r>
          <rPr>
            <b/>
            <sz val="9"/>
            <color indexed="81"/>
            <rFont val="Tahoma"/>
            <charset val="1"/>
          </rPr>
          <t>Mohammed Zoghian:</t>
        </r>
        <r>
          <rPr>
            <sz val="9"/>
            <color indexed="81"/>
            <rFont val="Tahoma"/>
            <charset val="1"/>
          </rPr>
          <t xml:space="preserve">
agent-specific reward</t>
        </r>
      </text>
    </comment>
    <comment ref="J38" authorId="0" shapeId="0" xr:uid="{DDECA845-BD02-4803-AA39-825C12EF76E9}">
      <text>
        <r>
          <rPr>
            <b/>
            <sz val="9"/>
            <color indexed="81"/>
            <rFont val="Tahoma"/>
            <charset val="1"/>
          </rPr>
          <t>Mohammed Zoghian:</t>
        </r>
        <r>
          <rPr>
            <sz val="9"/>
            <color indexed="81"/>
            <rFont val="Tahoma"/>
            <charset val="1"/>
          </rPr>
          <t xml:space="preserve">
einzelner Agent hat eigene Objective</t>
        </r>
      </text>
    </comment>
    <comment ref="W39" authorId="0" shapeId="0" xr:uid="{BBD41C8A-C493-4CA8-AD8B-97112E0E7E68}">
      <text>
        <r>
          <rPr>
            <b/>
            <sz val="9"/>
            <color indexed="81"/>
            <rFont val="Tahoma"/>
            <charset val="1"/>
          </rPr>
          <t>Mohammed Zoghian:</t>
        </r>
        <r>
          <rPr>
            <sz val="9"/>
            <color indexed="81"/>
            <rFont val="Tahoma"/>
            <charset val="1"/>
          </rPr>
          <t xml:space="preserve">
Base-Stock-Politik (Order-up-to policy)</t>
        </r>
      </text>
    </comment>
    <comment ref="G40" authorId="0" shapeId="0" xr:uid="{9611DF67-2C9C-4B9B-9CE2-DAEECA983840}">
      <text>
        <r>
          <rPr>
            <b/>
            <sz val="9"/>
            <color indexed="81"/>
            <rFont val="Tahoma"/>
            <charset val="1"/>
          </rPr>
          <t>Mohammed Zoghian:</t>
        </r>
        <r>
          <rPr>
            <sz val="9"/>
            <color indexed="81"/>
            <rFont val="Tahoma"/>
            <charset val="1"/>
          </rPr>
          <t xml:space="preserve">
weighted sum </t>
        </r>
      </text>
    </comment>
    <comment ref="W40" authorId="0" shapeId="0" xr:uid="{8A0F9935-7B3B-4753-B33D-0F50F6D381D6}">
      <text>
        <r>
          <rPr>
            <b/>
            <sz val="9"/>
            <color indexed="81"/>
            <rFont val="Tahoma"/>
            <charset val="1"/>
          </rPr>
          <t>Mohammed Zoghian:</t>
        </r>
        <r>
          <rPr>
            <sz val="9"/>
            <color indexed="81"/>
            <rFont val="Tahoma"/>
            <charset val="1"/>
          </rPr>
          <t xml:space="preserve">
Dynamic Programming (exact) + Greedy heuristic</t>
        </r>
      </text>
    </comment>
    <comment ref="Q41" authorId="0" shapeId="0" xr:uid="{E5062F42-F252-4DCF-B6A1-5982345D991A}">
      <text>
        <r>
          <rPr>
            <b/>
            <sz val="9"/>
            <color indexed="81"/>
            <rFont val="Tahoma"/>
            <charset val="1"/>
          </rPr>
          <t>Mohammed Zoghian:</t>
        </r>
        <r>
          <rPr>
            <sz val="9"/>
            <color indexed="81"/>
            <rFont val="Tahoma"/>
            <charset val="1"/>
          </rPr>
          <t xml:space="preserve">
Ja, Q-Learning wird mit einem MILP-Solver (CPLEX) kombiniert: RL bestimmt die Bietstrategie (Preis und Menge), danach löst der Solver die operative Supply-Chain-Optimierung zur Berechnung von Kosten und Emissionen 
s40314-022-01868-5-1
. Die Bisection-Methode ist ein numerisches Verfahren zur Bestimmung des CO₂-Handelspreises, indem iterativ der Preis gesucht wird, bei dem Gesamtemissionen und verfügbare Zertifikate übereinstimmen.</t>
        </r>
      </text>
    </comment>
    <comment ref="W41" authorId="0" shapeId="0" xr:uid="{F949844A-EF34-433B-8B90-65FAB10E6D94}">
      <text>
        <r>
          <rPr>
            <b/>
            <sz val="9"/>
            <color indexed="81"/>
            <rFont val="Tahoma"/>
            <charset val="1"/>
          </rPr>
          <t>Mohammed Zoghian:</t>
        </r>
        <r>
          <rPr>
            <sz val="9"/>
            <color indexed="81"/>
            <rFont val="Tahoma"/>
            <charset val="1"/>
          </rPr>
          <t xml:space="preserve">
Roth-Erev ist ein einfaches, probabilistisches Verstärkungslernen für wiederholte strategische Entscheidungen ohne explizites Zustandsmodell.</t>
        </r>
      </text>
    </comment>
    <comment ref="K42" authorId="0" shapeId="0" xr:uid="{6DAFDCB5-41E2-4342-8B05-517D40E72558}">
      <text>
        <r>
          <rPr>
            <b/>
            <sz val="9"/>
            <color indexed="81"/>
            <rFont val="Tahoma"/>
            <charset val="1"/>
          </rPr>
          <t>Mohammed Zoghian:</t>
        </r>
        <r>
          <rPr>
            <sz val="9"/>
            <color indexed="81"/>
            <rFont val="Tahoma"/>
            <charset val="1"/>
          </rPr>
          <t xml:space="preserve">
Pareto</t>
        </r>
      </text>
    </comment>
    <comment ref="Q42" authorId="0" shapeId="0" xr:uid="{13B116B7-4186-4116-81EA-1B395AE07319}">
      <text>
        <r>
          <rPr>
            <b/>
            <sz val="9"/>
            <color indexed="81"/>
            <rFont val="Tahoma"/>
            <charset val="1"/>
          </rPr>
          <t>Mohammed Zoghian:</t>
        </r>
        <r>
          <rPr>
            <sz val="9"/>
            <color indexed="81"/>
            <rFont val="Tahoma"/>
            <charset val="1"/>
          </rPr>
          <t xml:space="preserve">
Evolutionary Algorithm: Genetic, Brainstorm, Grey Wolf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E2" authorId="0" shapeId="0" xr:uid="{D38D3E75-8ECC-4A31-B3FC-BDB8C67EE3B0}">
      <text>
        <r>
          <rPr>
            <b/>
            <sz val="9"/>
            <color indexed="81"/>
            <rFont val="Tahoma"/>
            <family val="2"/>
          </rPr>
          <t>Mohammed Zoghian:</t>
        </r>
        <r>
          <rPr>
            <sz val="9"/>
            <color indexed="81"/>
            <rFont val="Tahoma"/>
            <family val="2"/>
          </rPr>
          <t xml:space="preserve">
Es wurde ein Attention-basiertes Deep Reinforcement Learning (DRL)-Modell eingesetzt.</t>
        </r>
      </text>
    </comment>
    <comment ref="E8" authorId="0" shapeId="0" xr:uid="{F35390D6-BAF6-4373-BC92-24F7D43DB6D8}">
      <text>
        <r>
          <rPr>
            <b/>
            <sz val="9"/>
            <color indexed="81"/>
            <rFont val="Tahoma"/>
            <family val="2"/>
          </rPr>
          <t>Mohammed Zoghian:</t>
        </r>
        <r>
          <rPr>
            <sz val="9"/>
            <color indexed="81"/>
            <rFont val="Tahoma"/>
            <family val="2"/>
          </rPr>
          <t xml:space="preserve">
Es wurde ein Attention-basiertes Deep Reinforcement Learning (DRL)-Modell eingesetzt.</t>
        </r>
      </text>
    </comment>
    <comment ref="D9" authorId="0" shapeId="0" xr:uid="{18453634-6890-4C56-BB3E-5E2934E1328A}">
      <text>
        <r>
          <rPr>
            <b/>
            <sz val="9"/>
            <color indexed="81"/>
            <rFont val="Tahoma"/>
            <charset val="1"/>
          </rPr>
          <t>Mohammed Zoghian:</t>
        </r>
        <r>
          <rPr>
            <sz val="9"/>
            <color indexed="81"/>
            <rFont val="Tahoma"/>
            <charset val="1"/>
          </rPr>
          <t xml:space="preserve">
Die Methode kombiniert tabellarisches Q-Learning mit heuristisch designten Reward-/Penalty-Strukturen sowie expertenwissensbasiertem Policy-Refinement (AIS-Trajektorien) und entspricht damit einem hybrid knowledge-guided RL-Ansatz.“</t>
        </r>
      </text>
    </comment>
    <comment ref="E10" authorId="0" shapeId="0" xr:uid="{9991478B-C98E-4E25-B4C8-48DDD5817F8F}">
      <text>
        <r>
          <rPr>
            <b/>
            <sz val="9"/>
            <color indexed="81"/>
            <rFont val="Tahoma"/>
            <charset val="1"/>
          </rPr>
          <t>Mohammed Zoghian:</t>
        </r>
        <r>
          <rPr>
            <sz val="9"/>
            <color indexed="81"/>
            <rFont val="Tahoma"/>
            <charset val="1"/>
          </rPr>
          <t xml:space="preserve">
Im Paper  wird eine **Communication-based Recurrent Neural Network (C-RNN)**-Architektur verwendet, im Stil von **DRQN**:
* **Eingangs-Embedding** über **MLPs** (u.a. *TaskMLP* für Observations + MLP für Messages + Lookup für Aktionen/Agententyp) 
* Danach ein **2-lagiges RNN mit GRUs** (in den Experimenten: **128 Neuronen** in Layer 1 und **64 Neuronen** in Layer 2) 
* Ausgabe ist eine **Q-Wert-/Value-Schätzung** (value-based) und daraus die Aktion; zusätzlich gibt es eine **differenzierbare Kommunikationsschicht (DRU/DIAL)** zwischen den Agenten 
</t>
        </r>
      </text>
    </comment>
    <comment ref="E14" authorId="0" shapeId="0" xr:uid="{1CAFCC91-A1B0-4623-BD8E-1A8E1E0C05EF}">
      <text>
        <r>
          <rPr>
            <b/>
            <sz val="9"/>
            <color indexed="81"/>
            <rFont val="Tahoma"/>
            <charset val="1"/>
          </rPr>
          <t>Mohammed Zoghian:</t>
        </r>
        <r>
          <rPr>
            <sz val="9"/>
            <color indexed="81"/>
            <rFont val="Tahoma"/>
            <charset val="1"/>
          </rPr>
          <t xml:space="preserve">
Die NN-Architektur ist ein Actor–Critic mit einem Transformer/Attention-basierten Encoder (der die Problem-/Lösungsmerkmale einbettet), dessen Actor daraus die Parameter einer Gaussian Policy für die Aktionswahl ausgibt und dessen Critic den Zustandswert 
vϕ
v
ϕ
 ​
 schätzt.</t>
        </r>
      </text>
    </comment>
    <comment ref="E19" authorId="0" shapeId="0" xr:uid="{9942B32F-0412-46C3-909C-42A01C3A8FCB}">
      <text>
        <r>
          <rPr>
            <b/>
            <sz val="9"/>
            <color indexed="81"/>
            <rFont val="Tahoma"/>
            <charset val="1"/>
          </rPr>
          <t>Mohammed Zoghian:</t>
        </r>
        <r>
          <rPr>
            <sz val="9"/>
            <color indexed="81"/>
            <rFont val="Tahoma"/>
            <charset val="1"/>
          </rPr>
          <t xml:space="preserve">
Encoder-Decoder Transformer mit Multi-Head Attention + Attention-on-Attention (AOA</t>
        </r>
      </text>
    </comment>
    <comment ref="E24" authorId="0" shapeId="0" xr:uid="{35EFA9E4-939C-449C-96E4-43FBEC55864E}">
      <text>
        <r>
          <rPr>
            <b/>
            <sz val="9"/>
            <color indexed="81"/>
            <rFont val="Tahoma"/>
            <family val="2"/>
          </rPr>
          <t>Mohammed Zoghian:</t>
        </r>
        <r>
          <rPr>
            <sz val="9"/>
            <color indexed="81"/>
            <rFont val="Tahoma"/>
            <family val="2"/>
          </rPr>
          <t xml:space="preserve">
CNN-BiGRU (State Recognition) + Fully Connected Q-Network</t>
        </r>
      </text>
    </comment>
    <comment ref="E25" authorId="0" shapeId="0" xr:uid="{018733F5-D0F9-453E-9EE9-86E849302FFC}">
      <text>
        <r>
          <rPr>
            <b/>
            <sz val="9"/>
            <color indexed="81"/>
            <rFont val="Tahoma"/>
            <family val="2"/>
          </rPr>
          <t>Mohammed Zoghian:</t>
        </r>
        <r>
          <rPr>
            <sz val="9"/>
            <color indexed="81"/>
            <rFont val="Tahoma"/>
            <family val="2"/>
          </rPr>
          <t xml:space="preserve">
Es wurde ein Attention-basiertes Deep Reinforcement Learning (DRL)-Modell eingesetzt.</t>
        </r>
      </text>
    </comment>
    <comment ref="D27" authorId="0" shapeId="0" xr:uid="{63E4E2E8-0C5E-4777-849E-9768501B9D9A}">
      <text>
        <r>
          <rPr>
            <b/>
            <sz val="9"/>
            <color indexed="81"/>
            <rFont val="Tahoma"/>
            <family val="2"/>
          </rPr>
          <t>Mohammed Zoghian:</t>
        </r>
        <r>
          <rPr>
            <sz val="9"/>
            <color indexed="81"/>
            <rFont val="Tahoma"/>
            <family val="2"/>
          </rPr>
          <t xml:space="preserve">
Spoilage wird indirekt durch mehrere Agenten minimiert:
🔹 Routing-Agent (Q-Learning)
Vermeidet Stau
Minimiert Transitzeit
Wählt Pfade mit geringem Risiko
🔹 Temperature-Agent (DDPG)
Reguliert Kühlleistung kontinuierlich
Minimiert Temperaturabweichung
Balanciert Energie vs. Qualität
🔹 Inventory-Agent (Actor–Critic)
Optimiert Bestellmengen
Reduziert Lagerzeit
Verhindert Überbestand
🔹 Delivery-Scheduling-Agent
Koordiniert Auslieferung
Minimiert SLA-Verletzungen
Kein PPO
Kein explizites A2C
Actor–Critic wird als Oberbegriff genutzt
</t>
        </r>
      </text>
    </comment>
    <comment ref="D29" authorId="0" shapeId="0" xr:uid="{92E67BB5-0091-4568-BAD5-3AA0089DAC9F}">
      <text>
        <r>
          <rPr>
            <b/>
            <sz val="9"/>
            <color indexed="81"/>
            <rFont val="Tahoma"/>
            <family val="2"/>
          </rPr>
          <t>Mohammed Zoghian:</t>
        </r>
        <r>
          <rPr>
            <sz val="9"/>
            <color indexed="81"/>
            <rFont val="Tahoma"/>
            <family val="2"/>
          </rPr>
          <t xml:space="preserve">
Es wurde ein Attention-basiertes Deep Reinforcement Learning (DRL)-Modell eingesetzt.</t>
        </r>
      </text>
    </comment>
    <comment ref="E29" authorId="0" shapeId="0" xr:uid="{A885570E-8DD1-4A87-BC68-889546F798BB}">
      <text>
        <r>
          <rPr>
            <b/>
            <sz val="9"/>
            <color indexed="81"/>
            <rFont val="Tahoma"/>
            <family val="2"/>
          </rPr>
          <t>Mohammed Zoghian:</t>
        </r>
        <r>
          <rPr>
            <sz val="9"/>
            <color indexed="81"/>
            <rFont val="Tahoma"/>
            <family val="2"/>
          </rPr>
          <t xml:space="preserve">
Seq2Seq</t>
        </r>
      </text>
    </comment>
    <comment ref="E33" authorId="0" shapeId="0" xr:uid="{533A40C3-7173-4F50-B6DC-93B3ACB486F2}">
      <text>
        <r>
          <rPr>
            <b/>
            <sz val="9"/>
            <color indexed="81"/>
            <rFont val="Tahoma"/>
            <charset val="1"/>
          </rPr>
          <t>Mohammed Zoghian:</t>
        </r>
        <r>
          <rPr>
            <sz val="9"/>
            <color indexed="81"/>
            <rFont val="Tahoma"/>
            <charset val="1"/>
          </rPr>
          <t xml:space="preserve">
Graph Attention Network (GAT) + Multi-head/Single-head Attention + Softmax (Decoder)</t>
        </r>
      </text>
    </comment>
    <comment ref="E34" authorId="0" shapeId="0" xr:uid="{9A89E361-2120-4C21-BA0B-1A185106E402}">
      <text>
        <r>
          <rPr>
            <b/>
            <sz val="9"/>
            <color indexed="81"/>
            <rFont val="Tahoma"/>
            <charset val="1"/>
          </rPr>
          <t>Mohammed Zoghian:</t>
        </r>
        <r>
          <rPr>
            <sz val="9"/>
            <color indexed="81"/>
            <rFont val="Tahoma"/>
            <charset val="1"/>
          </rPr>
          <t xml:space="preserve">
EMOQL ist im Kern Q-Learning (wertbasiert), aber mit einem neuronalen Netz als Funktionsapproximation – also „Deep Q-Learning“ im weiteren Sinn. DQN ist eine spezifische Deep-Q-Learning-Variante (klassisch: Experience Replay + Target Network usw.). Das Paper sagt hier nur, dass EMOQL ein neuronales Netz nutzt und 
ϵ
ϵ-greedy trainiert; ob es exakt die vollständige DQN-Mechanik verwendet, wird in dem Ausschnitt nicht detailliert festgelegt.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J9" authorId="0" shapeId="0" xr:uid="{4C2D41CC-423C-4CF7-920A-195F4AD60917}">
      <text>
        <r>
          <rPr>
            <b/>
            <sz val="9"/>
            <color indexed="81"/>
            <rFont val="Tahoma"/>
            <charset val="1"/>
          </rPr>
          <t>Mohammed Zoghian:</t>
        </r>
        <r>
          <rPr>
            <sz val="9"/>
            <color indexed="81"/>
            <rFont val="Tahoma"/>
            <charset val="1"/>
          </rPr>
          <t xml:space="preserve">
Die Methode kombiniert tabellarisches Q-Learning mit heuristisch designten Reward-/Penalty-Strukturen sowie expertenwissensbasiertem Policy-Refinement (AIS-Trajektorien) und entspricht damit einem hybrid knowledge-guided RL-Ansatz.“</t>
        </r>
      </text>
    </comment>
    <comment ref="K26" authorId="0" shapeId="0" xr:uid="{FF311AD8-69ED-4F4D-A0BB-148A7D3B47AD}">
      <text>
        <r>
          <rPr>
            <b/>
            <sz val="9"/>
            <color indexed="81"/>
            <rFont val="Tahoma"/>
            <family val="2"/>
          </rPr>
          <t>Mohammed Zoghian:</t>
        </r>
        <r>
          <rPr>
            <sz val="9"/>
            <color indexed="81"/>
            <rFont val="Tahoma"/>
            <family val="2"/>
          </rPr>
          <t xml:space="preserve">
CO₂-Emissionen, Loyalty und Profit gemeinsam in einer tri-objective Optimierung modelliert und zusätzlich in einer RL-Reward-Funktion gewichtet integriert.</t>
        </r>
      </text>
    </comment>
    <comment ref="J27" authorId="0" shapeId="0" xr:uid="{02D93846-2ADD-44DF-949F-36F717AFA486}">
      <text>
        <r>
          <rPr>
            <b/>
            <sz val="9"/>
            <color indexed="81"/>
            <rFont val="Tahoma"/>
            <family val="2"/>
          </rPr>
          <t>Mohammed Zoghian:</t>
        </r>
        <r>
          <rPr>
            <sz val="9"/>
            <color indexed="81"/>
            <rFont val="Tahoma"/>
            <family val="2"/>
          </rPr>
          <t xml:space="preserve">
Spoilage wird indirekt durch mehrere Agenten minimiert:
🔹 Routing-Agent (Q-Learning)
Vermeidet Stau
Minimiert Transitzeit
Wählt Pfade mit geringem Risiko
🔹 Temperature-Agent (DDPG)
Reguliert Kühlleistung kontinuierlich
Minimiert Temperaturabweichung
Balanciert Energie vs. Qualität
🔹 Inventory-Agent (Actor–Critic)
Optimiert Bestellmengen
Reduziert Lagerzeit
Verhindert Überbestand
🔹 Delivery-Scheduling-Agent
Koordiniert Auslieferung
Minimiert SLA-Verletzungen
Kein PPO
Kein explizites A2C
Actor–Critic wird als Oberbegriff genutzt
</t>
        </r>
      </text>
    </comment>
    <comment ref="K28" authorId="0" shapeId="0" xr:uid="{61B30303-579C-4F44-B748-BE9C5F02C48A}">
      <text>
        <r>
          <rPr>
            <b/>
            <sz val="9"/>
            <color indexed="81"/>
            <rFont val="Tahoma"/>
            <family val="2"/>
          </rPr>
          <t>Mohammed Zoghian:</t>
        </r>
        <r>
          <rPr>
            <sz val="9"/>
            <color indexed="81"/>
            <rFont val="Tahoma"/>
            <family val="2"/>
          </rPr>
          <t xml:space="preserve">
Die Autoren sagen sinngemäß, dass Wastage eng mit Surplus zusammenhängt, und deshalb wird im RL nicht direkt 
W
W gesteuert, sondern 
S
S über den Anpassungsfaktor 
f
f. </t>
        </r>
      </text>
    </comment>
    <comment ref="F32" authorId="0" shapeId="0" xr:uid="{F51E6998-CD08-4FDA-9D27-5066CE12472C}">
      <text>
        <r>
          <rPr>
            <b/>
            <sz val="9"/>
            <color indexed="81"/>
            <rFont val="Tahoma"/>
            <charset val="1"/>
          </rPr>
          <t>Mohammed Zoghian:</t>
        </r>
        <r>
          <rPr>
            <sz val="9"/>
            <color indexed="81"/>
            <rFont val="Tahoma"/>
            <charset val="1"/>
          </rPr>
          <t xml:space="preserve">
Rückführung/Return von WEEE)</t>
        </r>
      </text>
    </comment>
    <comment ref="K32" authorId="0" shapeId="0" xr:uid="{B3BA5CBE-2DE4-4A97-A9E4-2C6A8B91E282}">
      <text>
        <r>
          <rPr>
            <b/>
            <sz val="9"/>
            <color indexed="81"/>
            <rFont val="Tahoma"/>
            <charset val="1"/>
          </rPr>
          <t>Mohammed Zoghian:</t>
        </r>
        <r>
          <rPr>
            <sz val="9"/>
            <color indexed="81"/>
            <rFont val="Tahoma"/>
            <charset val="1"/>
          </rPr>
          <t xml:space="preserve">
Distanz &amp; Gewicht → höherer Verbrauch/Cost</t>
        </r>
      </text>
    </comment>
    <comment ref="K33" authorId="0" shapeId="0" xr:uid="{D9CC357B-F3D2-4F28-9C39-F293BBA8DED8}">
      <text>
        <r>
          <rPr>
            <b/>
            <sz val="9"/>
            <color indexed="81"/>
            <rFont val="Tahoma"/>
            <charset val="1"/>
          </rPr>
          <t>Mohammed Zoghian:</t>
        </r>
        <r>
          <rPr>
            <sz val="9"/>
            <color indexed="81"/>
            <rFont val="Tahoma"/>
            <charset val="1"/>
          </rPr>
          <t xml:space="preserve">
Emissionen gehen als zweites Optimierungsziel direkt in die MOMDP ein, über die periodische Emissionsfunktion 
Et(st,at)
E
t
 ​
(s
t
 ​
,a
t
 ​
) (Produktion, Lagerhaltung, Transport) und werden zu kumulativen Emissionen 
CEt
CE
t
 ​
 aufaddiert. Zusätzlich beeinflussen sie das Kostenziel über das Cap-and-Trade-System: Überschreitungen der verfügbaren Zertifikate 
CCt
CC
t
 ​
 führen (spätestens am Horizontende) zu Strafkosten bzw. Handelskosten.</t>
        </r>
      </text>
    </comment>
    <comment ref="L34" authorId="0" shapeId="0" xr:uid="{166E2EE7-A334-4BDD-8B1E-E8F133ACF7B7}">
      <text>
        <r>
          <rPr>
            <b/>
            <sz val="9"/>
            <color indexed="81"/>
            <rFont val="Tahoma"/>
            <charset val="1"/>
          </rPr>
          <t>Mohammed Zoghian:</t>
        </r>
        <r>
          <rPr>
            <sz val="9"/>
            <color indexed="81"/>
            <rFont val="Tahoma"/>
            <charset val="1"/>
          </rPr>
          <t xml:space="preserve">
Vermeidung von Blutknappheit</t>
        </r>
      </text>
    </comment>
    <comment ref="K35" authorId="0" shapeId="0" xr:uid="{4C260ACE-95F3-420D-96A2-FFD09A032F70}">
      <text>
        <r>
          <rPr>
            <b/>
            <sz val="9"/>
            <color indexed="81"/>
            <rFont val="Tahoma"/>
            <charset val="1"/>
          </rPr>
          <t>Mohammed Zoghian:</t>
        </r>
        <r>
          <rPr>
            <sz val="9"/>
            <color indexed="81"/>
            <rFont val="Tahoma"/>
            <charset val="1"/>
          </rPr>
          <t xml:space="preserve">
Waste: direkt als 
fq,m,t
f
q,m,t
 ​
 (eingefrorener Überschuss) und als gewichtete Summe 
E
Damit ist „Waste“ mathematisch: positive Überdeckung (Surplus), die als Einfrieren modelliert wird und in 
E
E minimiert wird.</t>
        </r>
      </text>
    </comment>
    <comment ref="K37" authorId="0" shapeId="0" xr:uid="{42A112A5-64D5-4499-9EE7-493F07F6AD18}">
      <text>
        <r>
          <rPr>
            <b/>
            <sz val="9"/>
            <color indexed="81"/>
            <rFont val="Tahoma"/>
            <charset val="1"/>
          </rPr>
          <t>Mohammed Zoghian:</t>
        </r>
        <r>
          <rPr>
            <sz val="9"/>
            <color indexed="81"/>
            <rFont val="Tahoma"/>
            <charset val="1"/>
          </rPr>
          <t xml:space="preserve">
Reduktion von NOx, CO₂, SPM (in g) durch Konsolidierung (UDC/JDS) und weniger Fahrten</t>
        </r>
      </text>
    </comment>
    <comment ref="L39" authorId="0" shapeId="0" xr:uid="{58779803-07CD-4468-BED7-54A3F52CDAFA}">
      <text>
        <r>
          <rPr>
            <b/>
            <sz val="9"/>
            <color indexed="81"/>
            <rFont val="Tahoma"/>
            <charset val="1"/>
          </rPr>
          <t>Mohammed Zoghian:</t>
        </r>
        <r>
          <rPr>
            <sz val="9"/>
            <color indexed="81"/>
            <rFont val="Tahoma"/>
            <charset val="1"/>
          </rPr>
          <t xml:space="preserve">
equity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C12" authorId="0" shapeId="0" xr:uid="{DF40D3C4-4164-48B0-8D4C-F1B11BF6D40F}">
      <text>
        <r>
          <rPr>
            <b/>
            <sz val="9"/>
            <color indexed="81"/>
            <rFont val="Tahoma"/>
            <charset val="1"/>
          </rPr>
          <t>Mohammed Zoghian:</t>
        </r>
        <r>
          <rPr>
            <sz val="9"/>
            <color indexed="81"/>
            <rFont val="Tahoma"/>
            <charset val="1"/>
          </rPr>
          <t xml:space="preserve">
TSP-ähnliche Routenentscheidungen (Reihenfolge/Route der Kunden) mit einer Knapsack-ähnlichen Auswahl verbindet (welche Kunden unter Zeit-/Kapazitätsbudget überhaupt besucht werden, um Erlös zu maximieren).</t>
        </r>
      </text>
    </comment>
    <comment ref="C13" authorId="0" shapeId="0" xr:uid="{324D194E-9F10-4137-BDCF-9EB5D7384475}">
      <text>
        <r>
          <rPr>
            <b/>
            <sz val="9"/>
            <color indexed="81"/>
            <rFont val="Tahoma"/>
            <charset val="1"/>
          </rPr>
          <t>Mohammed Zoghian:</t>
        </r>
        <r>
          <rPr>
            <sz val="9"/>
            <color indexed="81"/>
            <rFont val="Tahoma"/>
            <charset val="1"/>
          </rPr>
          <t xml:space="preserve">
TSP-ähnliche Routenentscheidungen (Reihenfolge/Route der Kunden) mit einer Knapsack-ähnlichen Auswahl verbindet (welche Kunden unter Zeit-/Kapazitätsbudget überhaupt besucht werden, um Erlös zu maximieren).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Mohammed Zoghian</author>
  </authors>
  <commentList>
    <comment ref="F6" authorId="0" shapeId="0" xr:uid="{519C071E-4559-4ED4-AE44-B25B00F8F1B4}">
      <text>
        <r>
          <rPr>
            <b/>
            <sz val="9"/>
            <color indexed="81"/>
            <rFont val="Tahoma"/>
            <family val="2"/>
          </rPr>
          <t>Mohammed Zoghian:</t>
        </r>
        <r>
          <rPr>
            <sz val="9"/>
            <color indexed="81"/>
            <rFont val="Tahoma"/>
            <family val="2"/>
          </rPr>
          <t xml:space="preserve">
No – independent tabular Q-learning per agent, no centralized critic/training</t>
        </r>
      </text>
    </comment>
    <comment ref="F7" authorId="0" shapeId="0" xr:uid="{98F7DFC7-0B17-48FF-B0AB-AB8988F84EF4}">
      <text>
        <r>
          <rPr>
            <b/>
            <sz val="9"/>
            <color indexed="81"/>
            <rFont val="Tahoma"/>
            <family val="2"/>
          </rPr>
          <t>Mohammed Zoghian:</t>
        </r>
        <r>
          <rPr>
            <sz val="9"/>
            <color indexed="81"/>
            <rFont val="Tahoma"/>
            <family val="2"/>
          </rPr>
          <t xml:space="preserve">
Nicht konkret spezifiziert was für Algorithmus verwednet wird. Nur Q Learning und Actor-Critic werden anbgegeben</t>
        </r>
      </text>
    </comment>
    <comment ref="F8" authorId="0" shapeId="0" xr:uid="{D591EA37-4EB8-4D12-B699-EC2B2C809BDD}">
      <text>
        <r>
          <rPr>
            <b/>
            <sz val="9"/>
            <color indexed="81"/>
            <rFont val="Tahoma"/>
            <charset val="1"/>
          </rPr>
          <t>Mohammed Zoghian:</t>
        </r>
        <r>
          <rPr>
            <sz val="9"/>
            <color indexed="81"/>
            <rFont val="Tahoma"/>
            <charset val="1"/>
          </rPr>
          <t xml:space="preserve">
min. total system cost / reward-getrieben</t>
        </r>
      </text>
    </comment>
    <comment ref="G8" authorId="0" shapeId="0" xr:uid="{534BDC3B-3FE2-46AF-A70A-F8096EB2B1AB}">
      <text>
        <r>
          <rPr>
            <b/>
            <sz val="9"/>
            <color indexed="81"/>
            <rFont val="Tahoma"/>
            <charset val="1"/>
          </rPr>
          <t>Mohammed Zoghian:</t>
        </r>
        <r>
          <rPr>
            <sz val="9"/>
            <color indexed="81"/>
            <rFont val="Tahoma"/>
            <charset val="1"/>
          </rPr>
          <t xml:space="preserve">
Die Agenten kooperieren, weil sie ein gemeinsames globales Ziel (Minimierung der Gesamtkosten) verfolgen. Gleichzeitig konkurrieren sie lokal um einzelne Sammelstandorte, da immer nur ein Fahrzeug einen Standort bedienen kann.</t>
        </r>
      </text>
    </comment>
    <comment ref="H8" authorId="0" shapeId="0" xr:uid="{95D29BAF-866B-4E9E-82E7-14FD2090266E}">
      <text>
        <r>
          <rPr>
            <b/>
            <sz val="9"/>
            <color indexed="81"/>
            <rFont val="Tahoma"/>
            <charset val="1"/>
          </rPr>
          <t>Mohammed Zoghian:</t>
        </r>
        <r>
          <rPr>
            <sz val="9"/>
            <color indexed="81"/>
            <rFont val="Tahoma"/>
            <charset val="1"/>
          </rPr>
          <t xml:space="preserve">
Die Agenten kooperieren, weil sie ein gemeinsames globales Ziel (Minimierung der Gesamtkosten) verfolgen. Gleichzeitig konkurrieren sie lokal um einzelne Sammelstandorte, da immer nur ein Fahrzeug einen Standort bedienen kann.</t>
        </r>
      </text>
    </comment>
    <comment ref="F9" authorId="0" shapeId="0" xr:uid="{C427B818-DC32-497A-9A2F-EDE6B09186FF}">
      <text>
        <r>
          <rPr>
            <b/>
            <sz val="9"/>
            <color indexed="81"/>
            <rFont val="Tahoma"/>
            <charset val="1"/>
          </rPr>
          <t>Mohammed Zoghian:</t>
        </r>
        <r>
          <rPr>
            <sz val="9"/>
            <color indexed="81"/>
            <rFont val="Tahoma"/>
            <charset val="1"/>
          </rPr>
          <t xml:space="preserve">
2 Agenten: Quality Balancing + Delivery Rescheduling, sequentiell ausgeführt</t>
        </r>
      </text>
    </comment>
    <comment ref="H9" authorId="0" shapeId="0" xr:uid="{37124501-08BE-449C-BDB7-7DC130E171CD}">
      <text>
        <r>
          <rPr>
            <b/>
            <sz val="9"/>
            <color indexed="81"/>
            <rFont val="Tahoma"/>
            <charset val="1"/>
          </rPr>
          <t>Mohammed Zoghian:</t>
        </r>
        <r>
          <rPr>
            <sz val="9"/>
            <color indexed="81"/>
            <rFont val="Tahoma"/>
            <charset val="1"/>
          </rPr>
          <t xml:space="preserve">
sequentiell/komplementär: Agent 1 Quality Balancing, Agent 2 Delivery Rescheduling – beide optimieren denselben Reward</t>
        </r>
      </text>
    </comment>
    <comment ref="G10" authorId="0" shapeId="0" xr:uid="{A842EA70-EB4A-45C0-B5C0-2D3056D09CD9}">
      <text>
        <r>
          <rPr>
            <b/>
            <sz val="9"/>
            <color indexed="81"/>
            <rFont val="Tahoma"/>
            <charset val="1"/>
          </rPr>
          <t>Mohammed Zoghian:</t>
        </r>
        <r>
          <rPr>
            <sz val="9"/>
            <color indexed="81"/>
            <rFont val="Tahoma"/>
            <charset val="1"/>
          </rPr>
          <t xml:space="preserve">
Freight Carriers konkurrieren indirekt um Transportaufträge und Gebühren.</t>
        </r>
      </text>
    </comment>
    <comment ref="H10" authorId="0" shapeId="0" xr:uid="{7F5B4CA7-4035-4ACB-97C6-6480AE65DE13}">
      <text>
        <r>
          <rPr>
            <b/>
            <sz val="9"/>
            <color indexed="81"/>
            <rFont val="Tahoma"/>
            <charset val="1"/>
          </rPr>
          <t>Mohammed Zoghian:</t>
        </r>
        <r>
          <rPr>
            <sz val="9"/>
            <color indexed="81"/>
            <rFont val="Tahoma"/>
            <charset val="1"/>
          </rPr>
          <t xml:space="preserve">
Im Joint Delivery System (UDC) kooperieren Carrier über einen Neutral Carrier; außerdem politische Koordination (Subventionen, Parkraummanagement).</t>
        </r>
      </text>
    </comment>
  </commentList>
</comments>
</file>

<file path=xl/sharedStrings.xml><?xml version="1.0" encoding="utf-8"?>
<sst xmlns="http://schemas.openxmlformats.org/spreadsheetml/2006/main" count="5744" uniqueCount="914">
  <si>
    <t>Supply Chain</t>
  </si>
  <si>
    <t>Reinforcement Learning</t>
  </si>
  <si>
    <t>WoS</t>
  </si>
  <si>
    <t>DB</t>
  </si>
  <si>
    <t>Scopus</t>
  </si>
  <si>
    <t>Summe</t>
  </si>
  <si>
    <t>10.3390/su13116230</t>
  </si>
  <si>
    <t>Sustainability</t>
  </si>
  <si>
    <t>10.1109/ICOCWC60930.2024.10470863</t>
  </si>
  <si>
    <t>10.1016/j.ijpe.2024.109469</t>
  </si>
  <si>
    <t>10.1016/j.seta.2022.102038</t>
  </si>
  <si>
    <t>10.1109/CASE56687.2023.10260354</t>
  </si>
  <si>
    <t>10.1016/j.jjimei.2024.100278</t>
  </si>
  <si>
    <t>10.1093/ijlct/ctae290</t>
  </si>
  <si>
    <t>10.3390/app15020601</t>
  </si>
  <si>
    <t>10.3389/fpubh.2023.1310016</t>
  </si>
  <si>
    <t>10.1109/CASE59546.2024.10711316</t>
  </si>
  <si>
    <t>10.1016/j.cie.2023.109669</t>
  </si>
  <si>
    <t>10.1016/j.knosys.2022.109190</t>
  </si>
  <si>
    <t>10.1007/s10458-024-09669-2</t>
  </si>
  <si>
    <t>10.1007/s10479-022-04788-z</t>
  </si>
  <si>
    <t>DOI10.1093/ijlct/ctae290</t>
  </si>
  <si>
    <t>DOI10.1016/j.knosys.2022.109190</t>
  </si>
  <si>
    <t>Search queries</t>
  </si>
  <si>
    <t>DOI10.4018/IJISSCM.316166</t>
  </si>
  <si>
    <t>DOI10.3390/app15020601</t>
  </si>
  <si>
    <t>DOI10.1016/j.cie.2023.109669</t>
  </si>
  <si>
    <t>DOI10.3390/su17094134</t>
  </si>
  <si>
    <t>DOI10.1016/j.ijpe.2024.109469</t>
  </si>
  <si>
    <t>DOI10.4018/JOEUC.369158</t>
  </si>
  <si>
    <t>Peer Reviewed</t>
  </si>
  <si>
    <t>Number of results</t>
  </si>
  <si>
    <t>DOI10.1080/00207543.2025.2481184</t>
  </si>
  <si>
    <t>DOI10.1016/j.ijpe.2024.109488</t>
  </si>
  <si>
    <t>DOI10.1080/0951192X.2025.2493629</t>
  </si>
  <si>
    <t>DOI10.1016/j.seta.2022.102038</t>
  </si>
  <si>
    <t>DOI10.1016/j.eswa.2025.127539</t>
  </si>
  <si>
    <t>DOI10.1680/jtran.24.00163</t>
  </si>
  <si>
    <t>DOI10.1007/s10479-022-04788-z</t>
  </si>
  <si>
    <t>DOI10.1108/IMDS-03-2023-0193</t>
  </si>
  <si>
    <t>10.5220/0013122400003893</t>
  </si>
  <si>
    <t>10.3390/smartcities5010011</t>
  </si>
  <si>
    <t>10.1016/j.engappai.2025.110987</t>
  </si>
  <si>
    <t>10.1080/0951192X.2025.2493629</t>
  </si>
  <si>
    <t>10.4018/JOEUC.369158</t>
  </si>
  <si>
    <t>10.33168/JLISS.2024.0907</t>
  </si>
  <si>
    <t>10.1016/j.compag.2025.110431</t>
  </si>
  <si>
    <t>10.3390/su17094134</t>
  </si>
  <si>
    <t>10.1680/jtran.24.00163</t>
  </si>
  <si>
    <t>10.1108/IMDS-03-2023-0193</t>
  </si>
  <si>
    <t>10.1109/NTCI64025.2024.10776153</t>
  </si>
  <si>
    <t>DOI</t>
  </si>
  <si>
    <t>https://doi.org/10.1016/j.engappai.2025.110987</t>
  </si>
  <si>
    <t>https://doi.org/10.1680/jtran.24.00163</t>
  </si>
  <si>
    <t>https://doi.org/10.1016/j.knosys.2022.109190</t>
  </si>
  <si>
    <t>https://doi.org/10.1016/j.seta.2022.102038</t>
  </si>
  <si>
    <t>https://doi.org/10.1016/j.socimp.2025.100109</t>
  </si>
  <si>
    <t>https://doi.org/10.1016/j.cie.2023.109669</t>
  </si>
  <si>
    <t>Abzüglich Dopplungen</t>
  </si>
  <si>
    <t>10.3390/su14105805</t>
  </si>
  <si>
    <t>10.1016/j.cie.2024.110149</t>
  </si>
  <si>
    <t>10.1016/j.eswa.2025.127539</t>
  </si>
  <si>
    <t>10.1016/j.suscom.2024.101063</t>
  </si>
  <si>
    <t>10.1016/j.omega.2024.103127</t>
  </si>
  <si>
    <t>10.1109/IC_ASET49463.2020.9318258</t>
  </si>
  <si>
    <t>10.1016/j.procir.2023.06.013</t>
  </si>
  <si>
    <t>10.1016/j.engappai.2023.107434</t>
  </si>
  <si>
    <t>10.1016/j.procir.2021.11.305</t>
  </si>
  <si>
    <t>10.1016/j.socimp.2025.100109</t>
  </si>
  <si>
    <t>10.1016/j.ijpe.2024.109488</t>
  </si>
  <si>
    <t>10.1016/j.elerap.2024.101455</t>
  </si>
  <si>
    <t>10.1016/j.compchemeng.2018.11.020</t>
  </si>
  <si>
    <t>10.1080/23302674.2024.2396432</t>
  </si>
  <si>
    <t>10.1016/j.tre.2024.103547</t>
  </si>
  <si>
    <t>10.1109/BITCON63716.2024.10985474</t>
  </si>
  <si>
    <t>10.3390/su16229996</t>
  </si>
  <si>
    <t>10.1016/j.asoc.2024.112660</t>
  </si>
  <si>
    <t>10.1080/00207543.2025.2481184</t>
  </si>
  <si>
    <t>Outlet</t>
  </si>
  <si>
    <t>Computers &amp; Industrial Engineering</t>
  </si>
  <si>
    <t>Expert Systems with Applications</t>
  </si>
  <si>
    <t>Smart Cities</t>
  </si>
  <si>
    <t>International Journal of Production Economics</t>
  </si>
  <si>
    <t>Knowledge-Based Systems</t>
  </si>
  <si>
    <t>https://doi.org/10.1016/j.commtr.2024.100153</t>
  </si>
  <si>
    <t>Sustainable Energy Technologies and Assessments</t>
  </si>
  <si>
    <t>Engineering Applications of Artificial Intelligence</t>
  </si>
  <si>
    <t>International Journal of Low-Carbon Technologies</t>
  </si>
  <si>
    <t>10.1016/j.commtr.2024.100153</t>
  </si>
  <si>
    <t>Title</t>
  </si>
  <si>
    <t>A Data-Intelligence-Driven Digital Twin Framework for Improving Sustainability in Logistics</t>
  </si>
  <si>
    <t>Collaborative production control and distributor selection via multi-agent reinforcement learning with differentiable communication</t>
  </si>
  <si>
    <t>SmartNoshWaste: Using Blockchain, Machine Learning, Cloud Computing and QR Code to Reduce Food Waste in Decentralized Web 3.0 Enabled Smart Cities</t>
  </si>
  <si>
    <t>Enhancing Circularity in Medical Device Supply Chains by Optimizing EoL Decisions Through Reinforcement Learning: A Multi-Objective Approach</t>
  </si>
  <si>
    <t>Collaborative planning of multi-tier sustainable supply chains: A reinforcement learning enhanced heuristic approach</t>
  </si>
  <si>
    <t>Delivery scheduling in meat industry using reinforcement learning</t>
  </si>
  <si>
    <t>Solving the green reverse logistics problem in e-commerce using a reinforcement learning based genetic algorithm</t>
  </si>
  <si>
    <t>Intelligent selection of healthcare supply chain mode – an applied research based on artificial intelligence</t>
  </si>
  <si>
    <t>A self-adaptive hyper-heuristic based multi-objective optimisation approach for integrated supply chain scheduling problems</t>
  </si>
  <si>
    <t>Optimizing floating crane operations for efficient bulk product transshipments on inland waterways</t>
  </si>
  <si>
    <t>Inventory control of multiple perishable goods using deep reinforcement learning for sustainable environment</t>
  </si>
  <si>
    <t>Multi-Objective Reinforcement Learning for Sustainable Supply Chain Optimization</t>
  </si>
  <si>
    <t>Carbon trading supply chain management based on constrained deep reinforcement learning</t>
  </si>
  <si>
    <t>Multi-echelon inventory optimization of waste electrical and electronic equipment closed-loop supply chain based on reinforcement learning under carbon tax policy</t>
  </si>
  <si>
    <t>The Supply Chain Transportation and Route Planning Under Deep Reinforcement Learning</t>
  </si>
  <si>
    <t>Deep Reinforcement Learning Enabled Model for Green Last-mile Delivery in MiC Construction</t>
  </si>
  <si>
    <t>An improved transformer model with multi-head attention and attention to attention for low-carbon multi-depot vehicle routing problem</t>
  </si>
  <si>
    <t>https://doi.org/10.1016/j.eswa.2017.08.046</t>
  </si>
  <si>
    <t>durch Review Artikel: https://doi.org/10.1016/j.engappai.2024.109930</t>
  </si>
  <si>
    <t>https://doi.org/10.1016/j.eswa.2021.114663</t>
  </si>
  <si>
    <t>durch Review Artikel: https://doi.org/10.1007/s10462-024-11045-1</t>
  </si>
  <si>
    <t>10.1109/TITS.2019.2909109</t>
  </si>
  <si>
    <t>durch Review Artikel: https://doi.org/10.1016/j.tre.2022.102712</t>
  </si>
  <si>
    <t>https://doi.org/10.1109/IJCNN52387.2021.9534127</t>
  </si>
  <si>
    <t>https://doi.org/10.1016/j.ejor.2021.10.045</t>
  </si>
  <si>
    <t>https://doi.org/10.1016/j.eswa.2014.07.007</t>
  </si>
  <si>
    <t>https://doi.org/10.1016/j.sbspro.2014.01.1489</t>
  </si>
  <si>
    <t>https://doi.org/10.1016/j.procs.2017.05.422</t>
  </si>
  <si>
    <t>https://doi.org/10.1016/j.tre.2019.02.011</t>
  </si>
  <si>
    <t>https://doi.org/10.1016/j.ejor.2019.11.025</t>
  </si>
  <si>
    <t>https://doi.org/10.1111%2Fitor.12758</t>
  </si>
  <si>
    <t>https://doi.org/10.1016/j.cie.2022.107971</t>
  </si>
  <si>
    <t xml:space="preserve">durch Review Artikel: https://doi.org/10.1016/j.tre.2024.103455 </t>
  </si>
  <si>
    <t>https://doi.org/10.1007/s10845-021-01863-3</t>
  </si>
  <si>
    <t>https://doi.org/10.1080/07408170600897536</t>
  </si>
  <si>
    <t>https://doi.org/10.1016/j.cie.2022.108811</t>
  </si>
  <si>
    <t>https://doi.org/10.1016/j.ijpe.2009.06.011</t>
  </si>
  <si>
    <t>https://doi.org/10.1007/s40314-022-01868-5</t>
  </si>
  <si>
    <t>durch Rview Artikel: https://doi.org/10.1016/j.cie.2024.110649</t>
  </si>
  <si>
    <t>"reinforcement learning" AND ("supply chain*" OR logistic* OR "supply chain manag*" OR "closed loop supply chain*" OR "closed-loop supply chain*") AND sustainab*</t>
  </si>
  <si>
    <t>Filter</t>
  </si>
  <si>
    <t>DOIs</t>
  </si>
  <si>
    <t>ALL=("reinforcement learning" AND ("supply chain*" OR logistic* OR "supply chain manag*" OR "closed loop supply chain*" OR "closed-loop supply chain*") AND sustainab*)</t>
  </si>
  <si>
    <t>https://doi.org/10.3390/su16114329</t>
  </si>
  <si>
    <t>DOI10.1007/s10458-024-09669-2</t>
  </si>
  <si>
    <t>DOI10.1016/j.eswa.2025.129182</t>
  </si>
  <si>
    <t>DOI10.3389/fpubh.2023.1310016</t>
  </si>
  <si>
    <t>DOI10.3390/su14105805</t>
  </si>
  <si>
    <t>DOI10.3390/app11062726</t>
  </si>
  <si>
    <t>DOI10.3390/su17136079</t>
  </si>
  <si>
    <t>DOI10.3390/agriculture15141484</t>
  </si>
  <si>
    <t>DOI10.1016/j.compag.2025.110431</t>
  </si>
  <si>
    <t>DOI10.3390/su13116230</t>
  </si>
  <si>
    <t>DOI10.1016/j.compind.2024.104202</t>
  </si>
  <si>
    <t>DOI10.47556/J.WJEMSD.19.3-4.2023.3</t>
  </si>
  <si>
    <t>DOI10.1016/j.jii.2024.100582</t>
  </si>
  <si>
    <t>DOI10.1016/j.cie.2024.110165</t>
  </si>
  <si>
    <t>DOI10.3390/su16229996</t>
  </si>
  <si>
    <t>DOI10.1016/j.tre.2024.103415</t>
  </si>
  <si>
    <t>DOI10.3390/su17156772</t>
  </si>
  <si>
    <t>DOI10.1016/j.tre.2024.103872</t>
  </si>
  <si>
    <t>DOI10.1109/TITS.2025.3561034</t>
  </si>
  <si>
    <t>DOI10.1080/00207543.2024.2364349</t>
  </si>
  <si>
    <t>DOI10.1115/1.4063652</t>
  </si>
  <si>
    <t>DOI10.1016/j.rcim.2025.102959</t>
  </si>
  <si>
    <t>DOI10.1016/j.asoc.2025.113283</t>
  </si>
  <si>
    <t>DOI10.1016/j.omega.2024.103127</t>
  </si>
  <si>
    <t>DOI10.1016/j.tre.2025.104089</t>
  </si>
  <si>
    <t>TITLE-ABS-KEY("reinforcement learning" AND ("supply chain*" OR logistic* OR "supply chain manag*" OR "closed loop supply chain*" OR "closed-loop supply chain*") AND sustainab*)</t>
  </si>
  <si>
    <t>Document Type: Article, Conference Paper</t>
  </si>
  <si>
    <t>10.1080/00207543.2024.2364349</t>
  </si>
  <si>
    <t>10.1109/ICAISISAS64483.2025.11051876</t>
  </si>
  <si>
    <t>10.1016/j.eswa.2025.129182</t>
  </si>
  <si>
    <t>10.3390/su17136079</t>
  </si>
  <si>
    <t>10.3390/agriculture15141484</t>
  </si>
  <si>
    <t>10.1016/j.asoc.2025.113283</t>
  </si>
  <si>
    <t>10.3233/ATDE250252</t>
  </si>
  <si>
    <t>10.24136/oc.3596</t>
  </si>
  <si>
    <t>10.1515/zwf-2024-0132</t>
  </si>
  <si>
    <t>10.1007/978-3-031-16579-5_18</t>
  </si>
  <si>
    <t>10.3390/app11062726</t>
  </si>
  <si>
    <t>10.1007/978-3-030-78288-7_10</t>
  </si>
  <si>
    <t>10.1088/1755-1315/328/1/012071</t>
  </si>
  <si>
    <t>10.1109/ICMCSI61536.2024.00066</t>
  </si>
  <si>
    <t>IEEExplore</t>
  </si>
  <si>
    <t>https://doi.org/10.1109/NTCI64025.2024.10776153</t>
  </si>
  <si>
    <t>https://doi.org/10.1109/IEEM55944.2022.9989643</t>
  </si>
  <si>
    <t>https://doi.org/10.1109/CASE56687.2023.10260354</t>
  </si>
  <si>
    <t>https://doi.org/10.1109/CASE59546.2024.10711316</t>
  </si>
  <si>
    <t>https://doi.org/10.1109/ICCSAI64074.2025.11063820</t>
  </si>
  <si>
    <t>https://doi.org/10.1109/ICSCSS60660.2024.10624822</t>
  </si>
  <si>
    <t>https://doi.org/10.1109/ICCS62594.2024.10795844</t>
  </si>
  <si>
    <t>https://doi.org/10.1109/ICMCSI61536.2024.00066</t>
  </si>
  <si>
    <t>https://doi.org/10.1109/IC_ASET49463.2020.9318258</t>
  </si>
  <si>
    <t>https://doi.org/10.1109/BITCON63716.2024.10985474</t>
  </si>
  <si>
    <t>Google Scholar</t>
  </si>
  <si>
    <t>Pages: 1 - 10</t>
  </si>
  <si>
    <t>https://doi.org/10.1109/ICCCIS60361.2023.10425106</t>
  </si>
  <si>
    <t>http://dx.doi.org/10.52783/jes.2394</t>
  </si>
  <si>
    <t>https://doi.org/10.1109/ICECCME52200.2021.9590925</t>
  </si>
  <si>
    <t>https://doi.org/10.1016/j.dche.2022.100073</t>
  </si>
  <si>
    <t>https://doi.org/10.1016/j.techfore.2024.123841</t>
  </si>
  <si>
    <t>https://doi.org/10.1080/24725854.2023.2217248</t>
  </si>
  <si>
    <t>https://doi.org/10.1007/s10845-023-02258-2</t>
  </si>
  <si>
    <t>https://dx.doi.org/10.2139/ssrn.4119541</t>
  </si>
  <si>
    <t>https://doi.org/10.1016/j.ijpe.2023.109099</t>
  </si>
  <si>
    <t>https://doi.org/10.3390/su14105805</t>
  </si>
  <si>
    <t>https://doi.org/10.1080/00207543.2021.2020927</t>
  </si>
  <si>
    <t>https://doi.org/10.71465/fbf253</t>
  </si>
  <si>
    <t>https://doi.org/10.3390/s25030955</t>
  </si>
  <si>
    <t>https://doi.org/10.3390/su16229996</t>
  </si>
  <si>
    <t>https://doi.org/10.1080/23302674.2024.2396432</t>
  </si>
  <si>
    <t>https://doi.org/10.1080/00207543.2025.2529550</t>
  </si>
  <si>
    <t>https://doi.org/10.1016/j.suscom.2024.101063</t>
  </si>
  <si>
    <t>https://doi.org/10.3390/su17136079</t>
  </si>
  <si>
    <t>DOI: 10.4018/JOEUC.369158</t>
  </si>
  <si>
    <t>https://doi.org/10.1109/ICOCWC60930.2024.10470863</t>
  </si>
  <si>
    <t>https://doi.org/10.1038/s41598-025-10512-1</t>
  </si>
  <si>
    <t>https://doi.org/10.3390/app14188479</t>
  </si>
  <si>
    <t>https://doi.org/10.1007/s10696-023-09496-9</t>
  </si>
  <si>
    <t>https://doi.org/10.3390/electronics14010066</t>
  </si>
  <si>
    <t>https://doi.org/10.1007/978-3-031-90062-4_12</t>
  </si>
  <si>
    <t>https://doi.org/10.1109/ACCESS.2024.3521439</t>
  </si>
  <si>
    <t>https://doi.org/10.1080/0951192X.2022.2025623</t>
  </si>
  <si>
    <t>https://doi.org/10.1016/j.elerap.2024.101455</t>
  </si>
  <si>
    <t>https://doi.org/10.1007/s10458-024-09669-2</t>
  </si>
  <si>
    <t>https://doi.org/10.1109/ACCESS.2022.3205720</t>
  </si>
  <si>
    <t>https://doi.org/10.3390/a17030098</t>
  </si>
  <si>
    <t>Sciencedirect</t>
  </si>
  <si>
    <t>"reinforcement learning" AND ("supply chain" OR "supply chains" OR logistics OR "supply chain management" OR "closed loop supply chain" OR "closed-loop supply chain") (sustainable OR sustainability)</t>
  </si>
  <si>
    <t>https://doi.org/10.1016/j.cie.2024.110755</t>
  </si>
  <si>
    <t>https://doi.org/10.1016/j.jmsy.2025.03.013</t>
  </si>
  <si>
    <t>https://doi.org/10.1016/j.jii.2024.100598</t>
  </si>
  <si>
    <t>https://doi.org/10.1016/j.tre.2024.103547</t>
  </si>
  <si>
    <t>https://doi.org/10.1016/j.tre.2023.103234</t>
  </si>
  <si>
    <t>https://doi.org/10.1016/j.engappai.2023.107434</t>
  </si>
  <si>
    <t>https://doi.org/10.1016/j.engappai.2023.107403</t>
  </si>
  <si>
    <t>https://doi.org/10.1016/j.jclepro.2025.144991</t>
  </si>
  <si>
    <t>https://doi.org/10.1016/j.compchemeng.2025.109111</t>
  </si>
  <si>
    <t>https://doi.org/10.1016/j.procs.2024.02.075</t>
  </si>
  <si>
    <t>https://doi.org/10.1016/j.cie.2024.110578</t>
  </si>
  <si>
    <t>https://doi.org/10.1016/j.cie.2024.110165</t>
  </si>
  <si>
    <t>https://doi.org/10.1016/j.ejor.2017.07.014</t>
  </si>
  <si>
    <t>https://doi.org/10.1016/j.tre.2025.104367</t>
  </si>
  <si>
    <t>https://doi.org/10.1016/j.asoc.2019.105921</t>
  </si>
  <si>
    <t>https://doi.org/10.1016/j.tre.2025.104008</t>
  </si>
  <si>
    <t>https://doi.org/10.1016/j.procs.2025.04.697</t>
  </si>
  <si>
    <t>https://doi.org/10.1016/j.ifacol.2023.10.814</t>
  </si>
  <si>
    <t>https://doi.org/10.1016/j.tre.2025.104213</t>
  </si>
  <si>
    <t>https://doi.org/10.1016/j.engappai.2025.111187</t>
  </si>
  <si>
    <t>https://doi.org/10.1016/j.asoc.2024.112660</t>
  </si>
  <si>
    <t>https://doi.org/10.1016/j.procir.2021.11.305</t>
  </si>
  <si>
    <t>https://doi.org/10.1016/j.procir.2023.06.013</t>
  </si>
  <si>
    <t>https://doi.org/10.1016/j.forpol.2025.103456</t>
  </si>
  <si>
    <t>https://doi.org/10.1016/j.asoc.2025.112764</t>
  </si>
  <si>
    <t>https://doi.org/10.1016/j.procir.2023.09.221</t>
  </si>
  <si>
    <t>https://doi.org/10.1016/j.tre.2024.103518</t>
  </si>
  <si>
    <t>https://doi.org/10.1016/j.rcim.2025.102959</t>
  </si>
  <si>
    <t>https://doi.org/10.1016/B978-0-12-818634-3.50252-6</t>
  </si>
  <si>
    <t>https://doi.org/10.1016/j.cie.2024.110149</t>
  </si>
  <si>
    <t>https://doi.org/10.1016/j.compchemeng.2018.11.020</t>
  </si>
  <si>
    <t>https://doi.org/10.1016/j.ijinfomgt.2019.03.004</t>
  </si>
  <si>
    <t>https://doi.org/10.1016/j.tre.2025.104375</t>
  </si>
  <si>
    <t>https://doi.org/10.1016/j.tre.2025.104191</t>
  </si>
  <si>
    <t>https://doi.org/10.1016/j.procs.2024.02.062</t>
  </si>
  <si>
    <t>10.1007/978-3-031-90062-4_12</t>
  </si>
  <si>
    <t>10.1007/s10696-023-09496-9</t>
  </si>
  <si>
    <t>10.1007/s10845-023-02258-2</t>
  </si>
  <si>
    <t>10.1016/j.asoc.2019.105921</t>
  </si>
  <si>
    <t>10.1016/j.asoc.2025.112764</t>
  </si>
  <si>
    <t>10.1016/j.cie.2024.110165</t>
  </si>
  <si>
    <t>10.1016/j.cie.2024.110578</t>
  </si>
  <si>
    <t>10.1016/j.cie.2024.110755</t>
  </si>
  <si>
    <t>10.1016/j.compchemeng.2025.109111</t>
  </si>
  <si>
    <t>10.1016/j.compind.2024.104202</t>
  </si>
  <si>
    <t>10.1016/j.dche.2022.100073</t>
  </si>
  <si>
    <t>10.1016/j.ejor.2017.07.014</t>
  </si>
  <si>
    <t>10.1016/j.engappai.2023.107403</t>
  </si>
  <si>
    <t>10.1016/j.engappai.2025.111187</t>
  </si>
  <si>
    <t>10.1016/j.forpol.2025.103456</t>
  </si>
  <si>
    <t>10.1016/j.ifacol.2023.10.814</t>
  </si>
  <si>
    <t>10.1016/j.ijinfomgt.2019.03.004</t>
  </si>
  <si>
    <t>10.1016/j.ijpe.2023.109099</t>
  </si>
  <si>
    <t>10.1016/j.jclepro.2025.144991</t>
  </si>
  <si>
    <t>10.1016/j.jii.2024.100582</t>
  </si>
  <si>
    <t>10.1016/j.jii.2024.100598</t>
  </si>
  <si>
    <t>10.1016/j.jmsy.2025.03.013</t>
  </si>
  <si>
    <t>10.1016/j.procir.2023.09.221</t>
  </si>
  <si>
    <t>10.1016/j.procs.2024.02.062</t>
  </si>
  <si>
    <t>10.1016/j.procs.2024.02.075</t>
  </si>
  <si>
    <t>10.1016/j.procs.2025.04.697</t>
  </si>
  <si>
    <t>10.1016/j.rcim.2025.102959</t>
  </si>
  <si>
    <t>10.1016/j.techfore.2024.123841</t>
  </si>
  <si>
    <t>10.1016/j.tre.2023.103234</t>
  </si>
  <si>
    <t>10.1016/j.tre.2024.103415</t>
  </si>
  <si>
    <t>10.1016/j.tre.2024.103518</t>
  </si>
  <si>
    <t>10.1016/j.tre.2024.103872</t>
  </si>
  <si>
    <t>10.1016/j.tre.2025.104008</t>
  </si>
  <si>
    <t>10.1016/j.tre.2025.104089</t>
  </si>
  <si>
    <t>10.1016/j.tre.2025.104191</t>
  </si>
  <si>
    <t>10.1016/j.tre.2025.104213</t>
  </si>
  <si>
    <t>10.1016/j.tre.2025.104367</t>
  </si>
  <si>
    <t>10.1016/j.tre.2025.104375</t>
  </si>
  <si>
    <t>10.1038/s41598-025-10512-1</t>
  </si>
  <si>
    <t>10.1080/00207543.2021.2020927</t>
  </si>
  <si>
    <t>10.1080/00207543.2025.2529550</t>
  </si>
  <si>
    <t>10.1080/24725854.2023.2217248</t>
  </si>
  <si>
    <t>10.1115/1.4063652</t>
  </si>
  <si>
    <t>10.3390/a17030098</t>
  </si>
  <si>
    <t>10.3390/app14188479</t>
  </si>
  <si>
    <t>10.3390/electronics14010066</t>
  </si>
  <si>
    <t>10.3390/s25030955</t>
  </si>
  <si>
    <t>10.3390/su17156772</t>
  </si>
  <si>
    <t>10.52783/jes.2394</t>
  </si>
  <si>
    <t>10.71465/fbf253</t>
  </si>
  <si>
    <t>Summe total</t>
  </si>
  <si>
    <t>Sustainability dimension</t>
  </si>
  <si>
    <t>x</t>
  </si>
  <si>
    <t>Paywall</t>
  </si>
  <si>
    <t>Only conceptual</t>
  </si>
  <si>
    <t>Supplier Selection</t>
  </si>
  <si>
    <t>Document type: Conferences, Journals</t>
  </si>
  <si>
    <t>SCM Task</t>
  </si>
  <si>
    <t>Year</t>
  </si>
  <si>
    <t>Inventory Management</t>
  </si>
  <si>
    <t>Vehicle Routing Problem</t>
  </si>
  <si>
    <t>Profit</t>
  </si>
  <si>
    <t>An application of deep reinforcement learning and vendor-managed inventory in perishable supply chain management</t>
  </si>
  <si>
    <t>Towards sustainable closed-loop photovoltaic supply chains: A hybrid framework integrating reinforcement learning and mathematical models</t>
  </si>
  <si>
    <t>Research on the application of deep learning in low-carbon supply chain management</t>
  </si>
  <si>
    <t>A Deep Reinforcement Learning-Based Algorithm for Multi-Objective Agricultural Site Selection and Logistics Optimization Problem</t>
  </si>
  <si>
    <t>Reinforcement learning approaches for specifying ordering policies of perishable inventory systems</t>
  </si>
  <si>
    <t>Reward shaping to improve the performance of deep reinforcement learning in perishable inventory management</t>
  </si>
  <si>
    <t>European Journal of Operational Research</t>
  </si>
  <si>
    <t>Journal of Organizational and End User Computing</t>
  </si>
  <si>
    <t>Dependent-Chance Goal Programming for Sustainable Supply Chain Design: A Reinforcement Learning-Enhanced Salp Swarm Approach</t>
  </si>
  <si>
    <t>Supply chain network design</t>
  </si>
  <si>
    <t>An Artificial-Immune-System-Based Algorithm Enhanced with Deep Reinforcement Learning for Solving Returnable Transport Item Problems</t>
  </si>
  <si>
    <t>Document Types: Article</t>
  </si>
  <si>
    <t>10.3390/su17177968</t>
  </si>
  <si>
    <t>10.3390/jtaer20030240</t>
  </si>
  <si>
    <t>10.1016/j.cie.2025.111583</t>
  </si>
  <si>
    <t>10.3934/energy.2025057</t>
  </si>
  <si>
    <t>10.1109/ACCESS.2025.3614679</t>
  </si>
  <si>
    <t>10.1016/j.simpat.2025.103219</t>
  </si>
  <si>
    <t>10.1109/TEM.2025.3603183</t>
  </si>
  <si>
    <t>10.1016/j.martra.2025.100142</t>
  </si>
  <si>
    <t>10.1016/j.engappai.2025.112340</t>
  </si>
  <si>
    <t>10.1007/s11540-025-09941-2</t>
  </si>
  <si>
    <t>10.1016/j.cor.2025.107275</t>
  </si>
  <si>
    <t>10.1016/j.knosys.2025.115171</t>
  </si>
  <si>
    <t>10.1109/TITS.2025.3641646</t>
  </si>
  <si>
    <t xml:space="preserve">10.1016/j.asoc.2025.114084 </t>
  </si>
  <si>
    <t>10.3390/foods14173004</t>
  </si>
  <si>
    <t xml:space="preserve"> 10.52202/081497-0250</t>
  </si>
  <si>
    <t>Title, abstract , keywords</t>
  </si>
  <si>
    <t>https://doi.org/10.1016/j.cie.2025.111583</t>
  </si>
  <si>
    <t>https://doi.org/10.1016/j.eswa.2025.130035</t>
  </si>
  <si>
    <t>https://doi.org/10.1016/j.knosys.2025.115171</t>
  </si>
  <si>
    <t>https://doi.org/10.1016/j.asoc.2025.114084</t>
  </si>
  <si>
    <r>
      <t xml:space="preserve">11.01.2026 - Phase 1: Exclusion: </t>
    </r>
    <r>
      <rPr>
        <sz val="11"/>
        <color theme="1"/>
        <rFont val="Calibri"/>
        <family val="2"/>
        <scheme val="minor"/>
      </rPr>
      <t>Reviews, Robotic-control without regarding to SCM or logistics, energy Supply chain, Navigation or Routing approaches not considering SCM, Mobility, Traffic control, Public Transport, urban spatial decisions, Network Communication, Rl is not focus, only ML or OR or Heuristics, not english</t>
    </r>
    <r>
      <rPr>
        <b/>
        <sz val="11"/>
        <color theme="1"/>
        <rFont val="Calibri"/>
        <family val="2"/>
        <scheme val="minor"/>
      </rPr>
      <t xml:space="preserve">;  Inclusion: </t>
    </r>
    <r>
      <rPr>
        <sz val="11"/>
        <color theme="1"/>
        <rFont val="Calibri"/>
        <family val="2"/>
        <scheme val="minor"/>
      </rPr>
      <t>addressing at least Supply Chain and (RL or Sustaianbility or Optimization)</t>
    </r>
  </si>
  <si>
    <t>10.3390/su16114329</t>
  </si>
  <si>
    <t>10.4018/IJISSCM.316166</t>
  </si>
  <si>
    <t>10.47556/J.WJEMSD.19.3-4.2023.3</t>
  </si>
  <si>
    <t>10.1109/TITS.2025.3561034</t>
  </si>
  <si>
    <t>10.1016/j.asoc.2025.114084</t>
  </si>
  <si>
    <t>10.52202/081497-0250</t>
  </si>
  <si>
    <t>10.1109/IEEM55944.2022.9989643</t>
  </si>
  <si>
    <t>10.1109/ICCSAI64074.2025.11063820</t>
  </si>
  <si>
    <t>10.1109/ICSCSS60660.2024.10624822</t>
  </si>
  <si>
    <t>10.1109/ICCS62594.2024.10795844</t>
  </si>
  <si>
    <t>10.1109/ICCCIS60361.2023.10425106</t>
  </si>
  <si>
    <t>10.1109/ICECCME52200.2021.9590925</t>
  </si>
  <si>
    <t>10.1109/ACCESS.2024.3521439</t>
  </si>
  <si>
    <t>10.1080/0951192X.2022.2025623</t>
  </si>
  <si>
    <t>10.1109/ACCESS.2022.3205720</t>
  </si>
  <si>
    <t>10.1016/B978-0-12-818634-3.50252-6</t>
  </si>
  <si>
    <t>10.1016/j.eswa.2025.130035</t>
  </si>
  <si>
    <t>10.1016/j.ejor.2021.10.045</t>
  </si>
  <si>
    <t>10.1109/IJCNN52387.2021.9534127</t>
  </si>
  <si>
    <t>10.1016/j.eswa.2014.07.007</t>
  </si>
  <si>
    <t>10.1016/j.sbspro.2014.01.1489</t>
  </si>
  <si>
    <t>10.1016/j.procs.2017.05.422</t>
  </si>
  <si>
    <t>10.1016/j.tre.2019.02.011</t>
  </si>
  <si>
    <t>10.1016/j.eswa.2017.08.046</t>
  </si>
  <si>
    <t>10.1016/j.ejor.2019.11.025</t>
  </si>
  <si>
    <t>10.1111/itor.12758</t>
  </si>
  <si>
    <t>10.1016/j.eswa.2021.114663</t>
  </si>
  <si>
    <t>10.1016/j.cie.2022.107971</t>
  </si>
  <si>
    <t>10.1007/s10845-021-01863-3</t>
  </si>
  <si>
    <t>10.1080/07408170600897536</t>
  </si>
  <si>
    <t>10.1016/j.cie.2022.108811</t>
  </si>
  <si>
    <t>10.1016/j.ijpe.2009.06.011</t>
  </si>
  <si>
    <t>10.1007/s40314-022-01868-5</t>
  </si>
  <si>
    <t>Modeling the Decision and Coordination Mechanism of Power Battery Closed-Loop Supply Chain Using Markov Decision Processes</t>
  </si>
  <si>
    <t>Author</t>
  </si>
  <si>
    <t>Bibtexkey</t>
  </si>
  <si>
    <t>Forward SC</t>
  </si>
  <si>
    <t>Closed Loop SC</t>
  </si>
  <si>
    <t>Sustainability Proxy</t>
  </si>
  <si>
    <t>Sustainability Aspect</t>
  </si>
  <si>
    <t>Environmental Goal</t>
  </si>
  <si>
    <t>Social Goal</t>
  </si>
  <si>
    <t>Economic Goal</t>
  </si>
  <si>
    <t>Value Based</t>
  </si>
  <si>
    <t>Policy Based</t>
  </si>
  <si>
    <t>Multi Agent</t>
  </si>
  <si>
    <t>Actor-Critic</t>
  </si>
  <si>
    <t>Hybrid</t>
  </si>
  <si>
    <t>Combination</t>
  </si>
  <si>
    <t>NN Architecture</t>
  </si>
  <si>
    <t>Benchmarks</t>
  </si>
  <si>
    <t>Multiobjective</t>
  </si>
  <si>
    <t>Single Objective</t>
  </si>
  <si>
    <t>Future Work</t>
  </si>
  <si>
    <t>Code Availibility</t>
  </si>
  <si>
    <t>Model-free</t>
  </si>
  <si>
    <t>Problem definition</t>
  </si>
  <si>
    <t>wang.2024b</t>
  </si>
  <si>
    <t>Wang et. al</t>
  </si>
  <si>
    <t>Auton Agent Multi-Agent Syst (Autonomous Agents and Multi-Agent Systems)</t>
  </si>
  <si>
    <t>Application</t>
  </si>
  <si>
    <t>Carbon trading supply chain management</t>
  </si>
  <si>
    <t>CMDP</t>
  </si>
  <si>
    <t>Multi-Agent Competition</t>
  </si>
  <si>
    <t>Multi-agent Cooperation</t>
  </si>
  <si>
    <t>MARL Observation: Symmetry / Heterogeneity</t>
  </si>
  <si>
    <t>MARL CTDE ja/nein: centralized training, decentralized execution</t>
  </si>
  <si>
    <t>Carbon Trading</t>
  </si>
  <si>
    <t>Emissions</t>
  </si>
  <si>
    <t>Rejected Phase 2</t>
  </si>
  <si>
    <t>Rejected Phase 3</t>
  </si>
  <si>
    <t>Sustainability Goal: Env / Soc / Eco</t>
  </si>
  <si>
    <t>Env / Eco</t>
  </si>
  <si>
    <t>o</t>
  </si>
  <si>
    <t>Heterogeneity</t>
  </si>
  <si>
    <t>RL Method</t>
  </si>
  <si>
    <t>PPO</t>
  </si>
  <si>
    <t>Anmerkungen</t>
  </si>
  <si>
    <t>DOPPOL = PPO-Lagrangian + dynamischer (zeitvariabler) Constraint-Schwellwert für Emissionen/Quoten, damit Ordering- und Carbon-Trading-Entscheidungen unter realistisch wechselnden Emissionsbedingungen stabil gelernt werden können.</t>
  </si>
  <si>
    <t>n/A</t>
  </si>
  <si>
    <t>N/A</t>
  </si>
  <si>
    <t>Rejection Reason</t>
  </si>
  <si>
    <t>No Sustainability metrics, only economic. No scientific standard</t>
  </si>
  <si>
    <t>No SC</t>
  </si>
  <si>
    <t>Potato Leaf Disease Detection Using Deep Reinforcement Learning and the Ocotillo Optimization Algorithm</t>
  </si>
  <si>
    <t>RL nur für Panelauswahl und keine Beschreibung der Methode</t>
  </si>
  <si>
    <t>Anmerkung</t>
  </si>
  <si>
    <t>MLP</t>
  </si>
  <si>
    <t>Nur Kosten als Optimierung</t>
  </si>
  <si>
    <t>Midterm</t>
  </si>
  <si>
    <t>Inventory drug optimization problem</t>
  </si>
  <si>
    <t>Optimization of Inventory Management to Prevent Drug Shortages in the Hospital Supply Chain</t>
  </si>
  <si>
    <t>abuzwaida.2021</t>
  </si>
  <si>
    <t>Zwaida e. al.</t>
  </si>
  <si>
    <t>Drug Shortage</t>
  </si>
  <si>
    <t>MDP</t>
  </si>
  <si>
    <t>Eco / Soc</t>
  </si>
  <si>
    <t>Cost for Shortage</t>
  </si>
  <si>
    <t>DQN</t>
  </si>
  <si>
    <t>Cost</t>
  </si>
  <si>
    <t>Baselines</t>
  </si>
  <si>
    <t>min Cost</t>
  </si>
  <si>
    <t xml:space="preserve">No description of methods. </t>
  </si>
  <si>
    <t>Inventory drug optimization problem / control the drug inventory in hospitals</t>
  </si>
  <si>
    <t>Procurement</t>
  </si>
  <si>
    <t xml:space="preserve">Solver, Online Algorithm, Heuristic </t>
  </si>
  <si>
    <t>No real dataset</t>
  </si>
  <si>
    <t>-</t>
  </si>
  <si>
    <t>max Profit</t>
  </si>
  <si>
    <t>Shortterm</t>
  </si>
  <si>
    <t>CO₂-Reduktionsverträge für Transport per RL so optimieren, dass Emissionen sinken und Gewinne steigen.</t>
  </si>
  <si>
    <t>Emission reduction contracts for transportation</t>
  </si>
  <si>
    <t>Manufacturing</t>
  </si>
  <si>
    <t>xie.2025</t>
  </si>
  <si>
    <t>Xie et. al.</t>
  </si>
  <si>
    <t>Carbon reduction</t>
  </si>
  <si>
    <t>Cost for Emissions</t>
  </si>
  <si>
    <t>Sales</t>
  </si>
  <si>
    <t>A2C, DQN, DDPG, TRPO</t>
  </si>
  <si>
    <t>Knapsack Problem</t>
  </si>
  <si>
    <t>Adding Information asymmetry</t>
  </si>
  <si>
    <t>Information symmetry</t>
  </si>
  <si>
    <t>Bi-level location-routing problem with time windows for mixed-load recycling of heterogeneous batteries: A transformer-based improved deep reinforcement learning algorithm</t>
  </si>
  <si>
    <t>zhao.2025c</t>
  </si>
  <si>
    <t>Zhao et. al.</t>
  </si>
  <si>
    <t>Applied Sciences</t>
  </si>
  <si>
    <t>Location routing problem for recycling used batteries</t>
  </si>
  <si>
    <t>Reverse SC</t>
  </si>
  <si>
    <t>Return</t>
  </si>
  <si>
    <t>Location-Routing</t>
  </si>
  <si>
    <t>Exosure risk</t>
  </si>
  <si>
    <t>Exposure Risk</t>
  </si>
  <si>
    <t>Transformer</t>
  </si>
  <si>
    <t>Symmetry</t>
  </si>
  <si>
    <t>Viet-Phuong et al. (2012); Barreto et al. (2005)</t>
  </si>
  <si>
    <t>Metaheuristic, DQN, PPO</t>
  </si>
  <si>
    <t>Heuristik</t>
  </si>
  <si>
    <t>pitakaso.2025</t>
  </si>
  <si>
    <t>Pitakaso et. al.</t>
  </si>
  <si>
    <t>Inland waterway transshipments</t>
  </si>
  <si>
    <t>Energy Consumption</t>
  </si>
  <si>
    <t>Energy</t>
  </si>
  <si>
    <t>Cost for Energy</t>
  </si>
  <si>
    <t>A2C</t>
  </si>
  <si>
    <t>Metaheuristic</t>
  </si>
  <si>
    <t>Objective RL</t>
  </si>
  <si>
    <t>Policy-Optimierung</t>
  </si>
  <si>
    <t xml:space="preserve">Metaheuristic </t>
  </si>
  <si>
    <t>Trained on Synthesized Data</t>
  </si>
  <si>
    <t>Tested on Synthesized Data</t>
  </si>
  <si>
    <t>Trained on Real Data</t>
  </si>
  <si>
    <t>Table based</t>
  </si>
  <si>
    <t>n/a</t>
  </si>
  <si>
    <t>Keine soziale Dimensionen</t>
  </si>
  <si>
    <t>Multimodal transport systems; Schließen der Lücke zwischen Theorie und Praxis</t>
  </si>
  <si>
    <t>boutmir.2025</t>
  </si>
  <si>
    <t>Boutmir et. al.</t>
  </si>
  <si>
    <t>Sourcing</t>
  </si>
  <si>
    <t>Supply Chain Design</t>
  </si>
  <si>
    <t>TBL</t>
  </si>
  <si>
    <t>Emissions, Energy, Water, Land, Biodiversity</t>
  </si>
  <si>
    <t>Job creation, Resilience, Social Inclusion, Fainress, Community Support</t>
  </si>
  <si>
    <t>Env / Eco / Soc</t>
  </si>
  <si>
    <t>Q-Learning</t>
  </si>
  <si>
    <t>Tested Real Data</t>
  </si>
  <si>
    <t>Synthetische Daten</t>
  </si>
  <si>
    <t xml:space="preserve">Dynamic Uncertainty; Real Data; </t>
  </si>
  <si>
    <t>Sustainability as Constraint</t>
  </si>
  <si>
    <t>sriprateep.2026</t>
  </si>
  <si>
    <t>Sriprateep et. al</t>
  </si>
  <si>
    <t>Sustainable and resilient semiconductor supply chain optimization via hybrid deep reinforcement and generative learning</t>
  </si>
  <si>
    <t>Supply chain Design</t>
  </si>
  <si>
    <t>Longterm</t>
  </si>
  <si>
    <t>Cost, Delivery Makespan</t>
  </si>
  <si>
    <t>Emissions, Waste</t>
  </si>
  <si>
    <t>Emissions and Waste reduction</t>
  </si>
  <si>
    <t>Min (Emission, Cost, Makespan)</t>
  </si>
  <si>
    <t>Emission for Waste</t>
  </si>
  <si>
    <t>Wasserstein GAN</t>
  </si>
  <si>
    <t>Metaheuristic, DRL-IMVO</t>
  </si>
  <si>
    <t>Nur experimentelle Validierung</t>
  </si>
  <si>
    <t>Multiagenten System</t>
  </si>
  <si>
    <t>No Sust</t>
  </si>
  <si>
    <t>In German</t>
  </si>
  <si>
    <t>IEEE has retracted the content</t>
  </si>
  <si>
    <t>Auction design for the allocation of carbon emission allowances to supply chains via multi-agent-based model and Q-learning</t>
  </si>
  <si>
    <t>Hybrid AI-driven decision architecture for sustainable industrial planning: Integrating BWM, IVN-TOPSIS, and DRL in OCP's digital supply chain</t>
  </si>
  <si>
    <t>Abdullahi et. al.</t>
  </si>
  <si>
    <t>abdullahi.2025</t>
  </si>
  <si>
    <t>planning of pick-ups and drop-offs of orders to minimize empty runs</t>
  </si>
  <si>
    <t>Reduction of Empty runs</t>
  </si>
  <si>
    <t>Travelling Salesman Problem</t>
  </si>
  <si>
    <t>Emissionen werden im Paper als Telematik-Feature behandelt („carbon emission“ kommt aus den Truck-Telematics-Daten) – es wird keine eigene Emissionsformel im Text hergeleitet.
Das System versucht Emissionen zu senken, indem es die Disposition/Routen so optimiert, dass Leerfahrten (empty runs) und damit unnötige Kilometer/Fahrzeit reduziert werden. Das wird als zentraler Hebel für weniger Ressourcenverbrauch (z. B. Fuel/Driver time) und damit auch geringere Emissionen dargestellt.Im Paper steht keine genaue Kostenrechnung wie z. B.
„Kosten = fuel_cost_per_km × km + driver_hourly × hours + …“
und auch keine Gewichtung (wie stark „late“ vs. „empty run“ im Reward zählt). Es bleibt auf der Ebene „negative reward“/„Kosten sinken durch weniger Verschwendung“.</t>
  </si>
  <si>
    <t>min(Empty runs)</t>
  </si>
  <si>
    <t>Knowledge transfer Q-learning for vessel route planning using automatic identification system-derived expert trajectories</t>
  </si>
  <si>
    <t>lee.2025b</t>
  </si>
  <si>
    <t>Lee, Park &amp; Bae</t>
  </si>
  <si>
    <t>Maritime Transport Research</t>
  </si>
  <si>
    <t>Vessel route planning</t>
  </si>
  <si>
    <t>Fuel Consumption</t>
  </si>
  <si>
    <t>Env</t>
  </si>
  <si>
    <t>Da Schiffe mit Schweröl/MGO fahren, ist der Treibstoffverbrauch nahezu proportional zu den Emissionen.</t>
  </si>
  <si>
    <t>min(Distance)</t>
  </si>
  <si>
    <t>Shortest-Path</t>
  </si>
  <si>
    <t>No consideration of dynamics, keine Feldvalidierung</t>
  </si>
  <si>
    <t>guo.2023</t>
  </si>
  <si>
    <t>Guo et. al.</t>
  </si>
  <si>
    <t>Collaborative Supply Chain Design</t>
  </si>
  <si>
    <t xml:space="preserve">Job Creation </t>
  </si>
  <si>
    <t>Heuristic</t>
  </si>
  <si>
    <t>Solver, Ablation-Studies</t>
  </si>
  <si>
    <t>Modellannahmen zur Unsicherheit (z. B. Nachfrage-/Parameterunsicherheit) sind vereinfacht bzw. nicht vollständig integriert. Dynamiken sehr vereinfacht. Effizienz der Lösung bei wachsender Problemgröße</t>
  </si>
  <si>
    <t>Erweiterung auf stochastische/dynamische Szenarie, Integration zusätzlicher Nachhaltigkeitsaspekte</t>
  </si>
  <si>
    <t>deng.2025</t>
  </si>
  <si>
    <t>Deng et. al.</t>
  </si>
  <si>
    <t>Collaborative production control and distributor selection</t>
  </si>
  <si>
    <t>Fairness</t>
  </si>
  <si>
    <t>human-centric distributor selection</t>
  </si>
  <si>
    <t>Integrated production control and distributor selection</t>
  </si>
  <si>
    <t>Ψ ist nicht Teil der Reward-Funktion, sondern wird ex post als Bewertungskennzahl berechnet, um zu prüfen, wie gleichmäßig die Distributoren ausgewählt wurden. Es beeinflusst die Optimierung nicht direkt, sondern dient nur dazu, im Nachhinein zu bewerten, wie fair (gleichmäßig) die Distributoren eingesetzt wurden.</t>
  </si>
  <si>
    <t>POMDP</t>
  </si>
  <si>
    <t>Centralized Training</t>
  </si>
  <si>
    <t>Knapsack and Travelling Salesman Problem</t>
  </si>
  <si>
    <t>R1(Profit) R2(Profit)</t>
  </si>
  <si>
    <t>RNN</t>
  </si>
  <si>
    <t>Ablation-Studies</t>
  </si>
  <si>
    <t>Einsatz von Explainable AI oder Hybrid-Learning, um Entscheidungen nachvollziehbarer zu machen und besser mit mehreren Zielen zu alignen. Mehr reale daten und validierung</t>
  </si>
  <si>
    <t>IEEE Transactions on Engineering Management</t>
  </si>
  <si>
    <t>Lin, Tseng &amp; Xu</t>
  </si>
  <si>
    <t>lin.2025</t>
  </si>
  <si>
    <t>GPT-Augmented Bayesian Reinforcement Learning Framework for Multiobjective Supplier Selection</t>
  </si>
  <si>
    <t>Order Allocation</t>
  </si>
  <si>
    <t>ESG</t>
  </si>
  <si>
    <t>min (Delay, ESG-Risk, Cost, Safety-Stock)</t>
  </si>
  <si>
    <t>DQN, PPO</t>
  </si>
  <si>
    <t>Allocation Problem</t>
  </si>
  <si>
    <t>XAI, Cross Industry Validation bzw. Größere Validerung</t>
  </si>
  <si>
    <t>Optimizing sugarcane bale logistics operations: Leveraging reinforcement learning and artificial multiple intelligence for dynamic multi-fleet management and multi-period scheduling under machine breakdown constraints</t>
  </si>
  <si>
    <t>pitakaso.2025b</t>
  </si>
  <si>
    <t>Computers and Electronics in Agriculture</t>
  </si>
  <si>
    <t>Scheduling and Routing</t>
  </si>
  <si>
    <t>Efficiency</t>
  </si>
  <si>
    <t xml:space="preserve">Scheduling </t>
  </si>
  <si>
    <t>Heuristik, Metaheuristik, Ablation-Studies</t>
  </si>
  <si>
    <t xml:space="preserve">Annahme vollständig beobachtbarer Zustände (in der Praxis Datenrauschen/-lücken); Skalierbarkeit/Realtime-Fähigkeit bei großen Netzwerken unklar; Generalisierbarkeit über Thailand/Zuckerrohr hinaus nicht getestet; externe Policy-/Marktfaktoren (Fuelpreise, Labor, Regulierung) fehlen; praktische Deployment-Themen (Realtime-Daten, Sensorzuverlässigkeit, Wetter/unerwartete Ausfälle) nicht vollständig adressiert. </t>
  </si>
  <si>
    <t>POMDP/uncertainty-aware RL (z. B. Bayesian/Distributional RL); Effizienz/Skalierung via Parallelisierung, GPU, Edge/Distributed Learning; Tests in anderen Regionen/Commodities; Einbindung sozioökonomischer &amp; policy-getriebener Constraints; Hybrid-Ansätze (RL+Expertenheuristiken, Human-in-the-loop); stärkere IoT/Realtime-Integration und Bewertung von Umweltbeiträgen (z. B. CO₂/Energieeffizienz).</t>
  </si>
  <si>
    <t>Fuel, Energy</t>
  </si>
  <si>
    <t>Data-Driven Methodology to Support Long-Lasting Logistics and Decision Making for Urban Last-Mile Operations</t>
  </si>
  <si>
    <t>An adaptive K-means and reinforcement learning (RL) algorithm to effective vaccine distribution</t>
  </si>
  <si>
    <t>cibaku.2026</t>
  </si>
  <si>
    <t>Cibaku &amp; Büyüktahtakın</t>
  </si>
  <si>
    <t>Computers &amp; Operations Research</t>
  </si>
  <si>
    <t>Vaccine Distribution</t>
  </si>
  <si>
    <t xml:space="preserve">Fuel </t>
  </si>
  <si>
    <t>Cost for Fuel</t>
  </si>
  <si>
    <t>REINFORCE</t>
  </si>
  <si>
    <t>Policy Optimierung</t>
  </si>
  <si>
    <t>K-Means Clustering, Metaheuristik</t>
  </si>
  <si>
    <t>Solver, Metaheuristik, Heuristik</t>
  </si>
  <si>
    <t>Echte Facility-Demand-/Inventardaten fehlen teilweise → Nachfrage wird probabilistisch geschätzt; fehlende Temperaturdaten werden teils randomisiert; zudem wurde für Benchmark-Fairness oft mit Euklid-Distanzen gearbeitet (statt reiner Straßendistanzen).</t>
  </si>
  <si>
    <t>(i) Methode weiter in komplexen/dynamischen Distributionsumgebungen ausbauen, um Effizienz/Adaptivität zu erhöhen; (ii) Evolution Strategies + Policy-Gradient RL als Hybridansatz untersuchen (skalierbar für große VRPs).</t>
  </si>
  <si>
    <t>mahmud.2022</t>
  </si>
  <si>
    <t>Shahed et. al.</t>
  </si>
  <si>
    <t>Integrierte Supply-Chain-Scheduling</t>
  </si>
  <si>
    <t xml:space="preserve">Sehr hohe Komplexität (NP-hard) durch integrierte, gekoppelte Entscheidungen und Multi-Objective-Setting (Integrierte Scheduking). Modellannahmen/Abstraktionen (z. B. keine Vehicle-Routing-Entscheidung, Kunden gleiche Geo-Lage, Transport-/Setupzeiten teils vernachlässigt) begrenzen die direkte Realitätsabbildung. RL in der Hyper-Heuristik bringt Zusatzaufwand: mehr Parameter, mehr Tuning/Computational Effort; außerdem ist die Definition geeigneter RL-States selbst anspruchsvoll. Benchmarking-Limit: es gibt keine Standard-ISCSP-Datensätze → Nutzung künstlich erzeugter Instanzen (Validität/Transfer in reale Daten muss extra gezeigt werden). </t>
  </si>
  <si>
    <t>Task Integrated</t>
  </si>
  <si>
    <t>Waste, Energy, Emission</t>
  </si>
  <si>
    <t>FJSP</t>
  </si>
  <si>
    <t>Brandimarte (1993) – klassische FJS-Benchmark-Instanzen, Hurink / Jurisch / Thole (1994) – „VData“, Kacem / Hammadi / Borne (2002)</t>
  </si>
  <si>
    <t xml:space="preserve">Heuristik, Metaheuristik </t>
  </si>
  <si>
    <t>selukar.2022</t>
  </si>
  <si>
    <t>Selukar, Jain &amp; Kumar</t>
  </si>
  <si>
    <t xml:space="preserve">Inventory control of multiple perishable goods </t>
  </si>
  <si>
    <t xml:space="preserve"> Realitätsnähe: Single-Product-Setups erreichen sehr niedrige Spoilage, sind aber wegen fehlender Real-World-Constraints instabil für echte Anwendung.</t>
  </si>
  <si>
    <t>Inventory Control</t>
  </si>
  <si>
    <t xml:space="preserve">Reduction perishable goods </t>
  </si>
  <si>
    <t xml:space="preserve">Waste </t>
  </si>
  <si>
    <t>Cost for Waste</t>
  </si>
  <si>
    <t>A2C, DDPG</t>
  </si>
  <si>
    <t>min(Cost)</t>
  </si>
  <si>
    <t>zhao.2025b</t>
  </si>
  <si>
    <t>Zhao &amp; Lou</t>
  </si>
  <si>
    <t>Low-Carbon Supply Chain Management</t>
  </si>
  <si>
    <t>Hohe Rechenkomplexität der integrierten Deep-Learning-Modelle (MS-TDLSTM + DRL) kann Skalierung/Echtzeitfähigkeit in großen Szenarien erschweren. (2) Starke Abhängigkeit von Datenqualität und -menge; unvollständige/fehlerhafte Emissionsdaten → schlechtere Vorhersagen und Entscheidungen.</t>
  </si>
  <si>
    <t>Komplexitätsreduktion durch Modellvereinfachung/Kompression (z. B. Pruning, Quantization); bessere Datenvorverarbeitung für Robustheit gegen Rauschen/fehlende Werte; generalisiertere Frameworks mit weniger Anpassungsaufwand für den Einsatz.</t>
  </si>
  <si>
    <t>Low-Carbon / Emissions Reduction in Supply Chains</t>
  </si>
  <si>
    <t>min(cost, Time, Emissions)</t>
  </si>
  <si>
    <t>Ablation-Studies, Metaheuristik</t>
  </si>
  <si>
    <t>Intelligent Warehousing: A Machine Learning and IoT Framework for Precision Inventory Optimization</t>
  </si>
  <si>
    <t>Warehousing</t>
  </si>
  <si>
    <t>zou.2024</t>
  </si>
  <si>
    <t>Zou et. al.</t>
  </si>
  <si>
    <t>Annals of Operations Research</t>
  </si>
  <si>
    <t>low-carbon multi-depot vehicle routing problem</t>
  </si>
  <si>
    <t>Low-carbon routing</t>
  </si>
  <si>
    <t>Multi-objective</t>
  </si>
  <si>
    <t>min (Cost)</t>
  </si>
  <si>
    <t>Ablation-Studies, Metaheuristik, Solver</t>
  </si>
  <si>
    <t>Designing a Russian–Chinese Omnichannel Logistics Network for the Supply of Bioethanol</t>
  </si>
  <si>
    <t>barykin.2025</t>
  </si>
  <si>
    <t>Barykin et. al.</t>
  </si>
  <si>
    <t xml:space="preserve">Simulationsbasierter Ansatz, rgebnisse sind nicht als realweltlich “statistisch präzise” gedacht (Fokus auf Modellverhalten/Entscheidungslogik statt empirischer Vorhersage), </t>
  </si>
  <si>
    <t>Sustainable Transport routing</t>
  </si>
  <si>
    <t>Cost, Delivery Time</t>
  </si>
  <si>
    <r>
      <t>Sustainable cross-border logistics / Route selection</t>
    </r>
    <r>
      <rPr>
        <sz val="11"/>
        <color theme="1"/>
        <rFont val="Calibri"/>
        <family val="2"/>
        <scheme val="minor"/>
      </rPr>
      <t xml:space="preserve"> (Omnichannel Logistics Network</t>
    </r>
  </si>
  <si>
    <t>Transport Routing</t>
  </si>
  <si>
    <t>Rule-based approaches</t>
  </si>
  <si>
    <t>Generative and Adaptive AI for Sustainable Supply Chain Design</t>
  </si>
  <si>
    <t>Journal of Theoretical and Applied Electronic Commerce Research</t>
  </si>
  <si>
    <t>necula.2025</t>
  </si>
  <si>
    <t>Necula &amp; Riedler</t>
  </si>
  <si>
    <t>Sustainable SCD</t>
  </si>
  <si>
    <t>Stark vereinfachte/teilsynthetische Datenbasis, Starke Aggregation &amp; einfache Entscheidungslogik: Reduktion auf wenige Gruppen (z. B. 9 Gruppen) und binäre Sourcing-Entscheidungen (green vs. non-green) vereinfacht reale Multi-Sourcing-/Netzwerk-Design-Probleme. Nur 2 Ziele (Kosten &amp; CO₂): Servicelevel wurde eher als Constraint behandelt; soziale Ziele (Triple Bottom Line) blieben außen vor. Mehr Ziele erhöhen zudem Komplexität/Interpretierbarkeit (große Pareto-Mengen)., RL-Setup bewusst simpel: DQN/Environment mit kompakter State-/Action-Spezifikation ist gut demonstrativ, aber nicht automatisch ausreichend für industrielle Komplexität; Reward ist skalarisiert (Kosten + Emissionsgewicht). Skalierbarkeit/Compute: Kombination aus Generierung + MOEA + RL kann rechenintensiv werden; RL für viele Strategien zu trainieren wäre teuer. doption in der Praxis (Daten &amp; Vertrauen): Benötigt hochwertige Daten (Kosten, Emissionen, Nachfrage) und Interpretierbarkeit; RL-Policies können „black box“ wirken.</t>
  </si>
  <si>
    <t>Anwendung mit realen Unternehmensdaten &amp; realer CO₂-Bilanzierung. rweiterung des Modellumfangs: feinere Granularität (mehr Produkte/Standorte), Multi-Sourcing, reichere Entscheidungsvariablen und realistischere Netzwerk-/Routingstrukturen. Mehrziel-Erweiterung. Stärkere RL-Varianten: hierarchisches RL, größere Zustandsräume, bessere Reward-/Constraint-Formulierungen; Multi-Objective RL (MORL) und „präferenz-parameterisierte“ Policies (Emissionspräferenz als Input).  Multi-Agent-Setups: mehrere Akteure (Supplier, Carrier, Retailer) mit Multi-Agent RL und Anreiz-/Vertragsdesign für systemweite Pareto-Effizienz.</t>
  </si>
  <si>
    <t>Sustainable Supplier Selection</t>
  </si>
  <si>
    <t>min (Cost, Transport Time, Emission)</t>
  </si>
  <si>
    <t>min (cost)</t>
  </si>
  <si>
    <t>Modeling and solving the joint berth allocation and vessel sequencing problem with speed optimization in a busy seaport</t>
  </si>
  <si>
    <t>liu.2025b</t>
  </si>
  <si>
    <t>Liu et. al.</t>
  </si>
  <si>
    <t>Transportation Research Part E: Logistics and Transportation Review</t>
  </si>
  <si>
    <t xml:space="preserve">berth allocation and vessel sequencing problem </t>
  </si>
  <si>
    <t>Modellannahmen u. a.: diskrete Liegeplätze, diskretisierte Geschwindigkeiten, keine Speed-Change-Zeit, keine Störungen</t>
  </si>
  <si>
    <t xml:space="preserve">Emissions-Kostenteilungsmechanismen (z. B. kooperative Spieltheorie) für faire Kollaboration. </t>
  </si>
  <si>
    <t>Servicelevel</t>
  </si>
  <si>
    <t>Dekarbonisierung in den Hafenbetrieb</t>
  </si>
  <si>
    <t>Berth Allocation and Vessel Sequencing</t>
  </si>
  <si>
    <t>min (Time, Emissionen)</t>
  </si>
  <si>
    <t>Metaheuristik</t>
  </si>
  <si>
    <t>El Bechari et. al.</t>
  </si>
  <si>
    <t>elbechari.2025</t>
  </si>
  <si>
    <t>4th International Conference on Operations Research and Enterprise Systems</t>
  </si>
  <si>
    <t>Optimizing EoL Decisions</t>
  </si>
  <si>
    <t xml:space="preserve">ereinfachte Circularity-Metrik: bewertet Reuse und Recycling gleich, obwohl ihr Ressourcenspareffekt unterschiedlich ist. (2) Vereinfachte Kostenmodellierung (vereinfachte Szenarien). </t>
  </si>
  <si>
    <t>ostenannahmen realistischer modellieren. (2) Weitere Optimierungsmethoden testen (z. B. multi-objective evolutionary algorithms wie NSGA-III/GA). (3) Umweltbewertung über CO₂ hinaus auf weitere Impact-Kategorien erweitern. (4) Umfassendere Circularity-Metriken integrieren.</t>
  </si>
  <si>
    <t>EoL Decision</t>
  </si>
  <si>
    <t>min (Emission, Cost )</t>
  </si>
  <si>
    <t>No Optimization</t>
  </si>
  <si>
    <t>Dynamic Order Matching</t>
  </si>
  <si>
    <t>Intelligent Logistics Optimization for Carbon Emission Reduction in Cement Industry: A Sensor-Driven Dynamic Order Matching Approach</t>
  </si>
  <si>
    <t>International Symposium on Autonomous Systems</t>
  </si>
  <si>
    <t>miao.2025</t>
  </si>
  <si>
    <t>Miao &amp; You &amp; Li</t>
  </si>
  <si>
    <t>RL-Probleme: Konvergenzinstabilität, Q-Overestimation, hoher Rechenaufwand bei großen Instanzen; stark abhängig von Zustands-/Reward-Design; Skalierung in Echtzeit bei vielen Orders/Trucks.</t>
  </si>
  <si>
    <t>Skalierbarkeit (hierarchische/mehrstufige Matching-Strategien, Approximation); stabilere DRL-Varianten &amp; bessere Offline-Evaluation; fairness/constraints (Arbeitszeiten, Prioritäten, Service Level) explizit integrieren.</t>
  </si>
  <si>
    <t>CO₂-Emissionsreduktion in der Zement-Logistik durch dynamisches Order-Matching, bessere Auslastung und emissionsbewusstes Routing</t>
  </si>
  <si>
    <t>Double DQN</t>
  </si>
  <si>
    <t>min (cost, emission)</t>
  </si>
  <si>
    <t>CNN</t>
  </si>
  <si>
    <t>DQN, Heuristik</t>
  </si>
  <si>
    <t>Solver</t>
  </si>
  <si>
    <t>Dynamic Order Matching &amp; Vehicle Routing</t>
  </si>
  <si>
    <t>wang.2025c</t>
  </si>
  <si>
    <t>Wang et al</t>
  </si>
  <si>
    <t>inventory optimization of waste electrical and electronic equipment closed-loop supply chain</t>
  </si>
  <si>
    <t>Closed-Loop Supply Chain mit WEEE-Recycling und Carbon Tax</t>
  </si>
  <si>
    <t>Cost for Emissions and Waste</t>
  </si>
  <si>
    <t>A dynamic multi-objective optimization framework for omnichannel retailing integrating customer loyalty, channel coordination, and reinforcement learning</t>
  </si>
  <si>
    <t>Fokus nur auf Carbon Tax als Emissionspolitik; nur “single technologies” (keine Technologieauswahl mit unterschiedlichen Emissionen/Kosten); Experimente in einer simulierten Gym-Umgebung mit synthetischen Nachfrage-/Rücklaufprozessen (150 Testszenarien) statt Realbetrieb/Benchmark-Datensatz.</t>
  </si>
  <si>
    <t>Zusätzliche Emissionspolitiken einbeziehen (Carbon Caps und Emissionshandel); außerdem Technologien mit variierenden Emissions- und Kostenprofilen modellieren, sodass Unternehmen flexibel Technologieoptionen wählen können.</t>
  </si>
  <si>
    <t>roosta.2026</t>
  </si>
  <si>
    <t>Roosta &amp; Sajadi &amp; Makui</t>
  </si>
  <si>
    <r>
      <t>Integration von Umwelt- und Policy-Daten</t>
    </r>
    <r>
      <rPr>
        <sz val="11"/>
        <color theme="1"/>
        <rFont val="Calibri"/>
        <family val="2"/>
        <scheme val="minor"/>
      </rPr>
      <t xml:space="preserve"> (Wetter/Wellen/Strömungen + Dekarbonisierungsregeln direkt in den Lernprozess), Feldvalidierung</t>
    </r>
  </si>
  <si>
    <r>
      <t>Annahmen schrittweise aufweichen/erweitern</t>
    </r>
    <r>
      <rPr>
        <sz val="11"/>
        <color theme="1"/>
        <rFont val="Calibri"/>
        <family val="2"/>
        <scheme val="minor"/>
      </rPr>
      <t xml:space="preserve">, z. B. Realismus durch Berücksichtigung weiterer SC-Aspekte. Praxis-/Daten-Nachweis: Validierung auf realen Industrie-Daten bzw. standardisierten Benchmarks, sobald verfügbar. </t>
    </r>
  </si>
  <si>
    <r>
      <t>Datenabhängigkeit</t>
    </r>
    <r>
      <rPr>
        <sz val="11"/>
        <color theme="1"/>
        <rFont val="Calibri"/>
        <family val="2"/>
        <scheme val="minor"/>
      </rPr>
      <t xml:space="preserve"> (hohe Datenqualität nötig; Missing/Noise verschlechtert Prognosen &amp; Policy-Stabilität); begrenzte Generalisierbarkeit (nur ein Retail-Kontext getestet); Distribution Shifts / Schocks (Policy kann bei starken Marktänderungen Retraining benötigen); hohe Rechenkosten/Skalierung (GCN/Transformer + PPO ist compute-intensiv).</t>
    </r>
  </si>
  <si>
    <r>
      <t>Bayesian/uncertainty-aware Learning</t>
    </r>
    <r>
      <rPr>
        <sz val="11"/>
        <color theme="1"/>
        <rFont val="Calibri"/>
        <family val="2"/>
        <scheme val="minor"/>
      </rPr>
      <t xml:space="preserve"> zur Robustheit bei Volatilität/inkompletten Daten; reichere Loyalty-Daten (Sentiment, Text-Feedback, Engagement); Multi-Agent RL für expliziten Wettbewerb &amp; dynamisches Pricing über mehrere Retailer; Skalierung auf größere/multi-tier Supply Chains + Tests unter realen Disruptionen (Krisen, Events, Promotions); stärkere Big-Data &amp; Deep-Learning-Forecasts; hierarchische/multi-stage dynamische Modelle; zusätzliche Umwelt-/Sozialmetriken; personalisierte Strategien nach individuellem CLV &amp; Loyalty. </t>
    </r>
  </si>
  <si>
    <t>Integrated nventory management, product assortment, and delivery timing</t>
  </si>
  <si>
    <t>Emission and customer loyality fullfillment and inventory management</t>
  </si>
  <si>
    <t>Profit, Customer Loyality</t>
  </si>
  <si>
    <t>Combinatorial Optimization Problem</t>
  </si>
  <si>
    <t>min ( Cost, Emissionen) max (Loyalty)</t>
  </si>
  <si>
    <t>Game Theory</t>
  </si>
  <si>
    <t>Ablation-Study, Exact/optimization, Metaheuristik</t>
  </si>
  <si>
    <t>Generative AI and Blockchain-Integrated Multi-Agent Framework for Resilient and Sustainable Fruit Cold-Chain Logistics</t>
  </si>
  <si>
    <t>khanna.2025</t>
  </si>
  <si>
    <t>Khanna et. al.</t>
  </si>
  <si>
    <t>Foods</t>
  </si>
  <si>
    <t>Farm-to-Retail</t>
  </si>
  <si>
    <t xml:space="preserve">Training/Evaluation basiert auf synthetischem, vereinfachtem Datensatz (leichtgewichtig, aber abstrahiert), entwickelt für ressourcenarme Umgebungen; im Experiment wird z. B. erwähnt, dass der Routing-Agent bei starker Stau-Lage schlechter performt. </t>
  </si>
  <si>
    <t>Transfer auf andere verderbliche Güter/Sektoren (z. B. Pharmazeutika, Seafood) zur Prüfung von Transferability, Skalierbarkeit und Generalisierbarkeit in der Praxis.</t>
  </si>
  <si>
    <t>Sustainable Farm-to-Retail</t>
  </si>
  <si>
    <t>Energy, Emissions, Spoilage</t>
  </si>
  <si>
    <t>min(Delivery Time, Emissions, Spolage, Energy, Cost)</t>
  </si>
  <si>
    <t>Single Agent, Rule-based approach</t>
  </si>
  <si>
    <t>Vehicle Routing Problem, Delivery Scheduling</t>
  </si>
  <si>
    <t>Early Access</t>
  </si>
  <si>
    <t>dey.2022</t>
  </si>
  <si>
    <t>Dey et. al.</t>
  </si>
  <si>
    <t>Reduce food waste in SC</t>
  </si>
  <si>
    <t>Food-waste reduction</t>
  </si>
  <si>
    <t>Waste</t>
  </si>
  <si>
    <t>Surplus</t>
  </si>
  <si>
    <t>min(Waste)</t>
  </si>
  <si>
    <t>The Dynamic Drone Scheduling Delivery Problem</t>
  </si>
  <si>
    <t>zhang.2024b</t>
  </si>
  <si>
    <t>Zhang et. al.</t>
  </si>
  <si>
    <t xml:space="preserve">IEEE 20th International Conference on Automation Science and Engineering </t>
  </si>
  <si>
    <t>Green Last-mile Delivery</t>
  </si>
  <si>
    <t>Green Last-mile Delivery (Milk-run-logistics)</t>
  </si>
  <si>
    <t>Sustainable Milk-run-logistics</t>
  </si>
  <si>
    <t>min (Emissions)</t>
  </si>
  <si>
    <t>Seq2Seq</t>
  </si>
  <si>
    <t>optimality gap</t>
  </si>
  <si>
    <t>Sustainable supply chain management: A green computing approach using deep Q-networks</t>
  </si>
  <si>
    <t>liu.2024</t>
  </si>
  <si>
    <t>Multiobjective Location-Routing</t>
  </si>
  <si>
    <t xml:space="preserve">Agricultural Site Selection and Logistics Optimization </t>
  </si>
  <si>
    <t>Cost, Product Loss</t>
  </si>
  <si>
    <t xml:space="preserve">Starke Modellvereinfachungen / idealisierte Annahmen: z.B. identische Fahrzeuge (gleiche Ladung/Geschwindigkeit), ausreichende Fahrzeuganzahl, einseitiger Transport DC→Kunde, keine Zwischenumlagerung.Keine Störeinflüsse im Betrieb modelliert: explizit wird Straßenstau, schlechtes Wetter, Fahrzeugausfälle nicht berücksichtigt.Datengrundlage/Validierung: Es wird ein Testszenario konstruiert, das die Realität “spiegelt”, statt klar ausgewiesener Realwelt-Datensätze/Realwelt-Evaluierung. Uncertainty/Risiken nicht im Kernmodell: Unsicherheiten (z. B. Nachfrageschwankungen, klimatische Einflüsse) werden als relevante Herausforderung anerkannt, aber (noch) nicht integriert. </t>
  </si>
  <si>
    <r>
      <t>Fortgeschrittene RL-Techniken</t>
    </r>
    <r>
      <rPr>
        <sz val="11"/>
        <color theme="1"/>
        <rFont val="Calibri"/>
        <family val="2"/>
        <scheme val="minor"/>
      </rPr>
      <t>: z.B. Attention-Mechanismen für Multi-Agent-Kollaboration, um die MODRL-SIA Performance zu steigern. Mehr Ziele &amp; Constraints: Erweiterung über Kosten/Emissionen/Verluste hinaus, z.B. weitere Umweltwirkungen und Traffic Congestion.Unsicherheitsmodellierung: Integration von demand variability und climatic changes inkl. Entscheidungsstrategien unter Unsicherheit.</t>
    </r>
  </si>
  <si>
    <r>
      <t xml:space="preserve">Phase 2 - Exclusion Criteria: </t>
    </r>
    <r>
      <rPr>
        <sz val="11"/>
        <color theme="1"/>
        <rFont val="Calibri"/>
        <family val="2"/>
        <scheme val="minor"/>
      </rPr>
      <t>No Focus on RL OR Sustainability OR Supply Chain Planning Problem, No Peer Review, only conceptual, accessible, Warehouse, Early Access, Only FJSP, Product Design</t>
    </r>
    <r>
      <rPr>
        <b/>
        <sz val="11"/>
        <color theme="1"/>
        <rFont val="Calibri"/>
        <family val="2"/>
        <scheme val="minor"/>
      </rPr>
      <t xml:space="preserve">
Phase 3 - Exclusion Criteria: No description of methodology, no sustainability metrics or proxies, not supply chain planning task, no research standard, Warehouse, No quantitative measurement of Sust, Only Production, Product Design</t>
    </r>
  </si>
  <si>
    <t>li.2024</t>
  </si>
  <si>
    <t>Li and Shih</t>
  </si>
  <si>
    <t>Electronic Commerce Research and Applications</t>
  </si>
  <si>
    <t>Green Reverse Logistics</t>
  </si>
  <si>
    <t>Time-Windows für verderbliche Retouren (wenn nicht eingehalten → Recycling)</t>
  </si>
  <si>
    <t>Metaheuristic, Solver</t>
  </si>
  <si>
    <t>multi-objective integrated scheduling</t>
  </si>
  <si>
    <t xml:space="preserve">A significant limitation is the model’s scalability; as problem sizes in- crease, particularly in large-scale real-world scenarios, the model’s complexity may result in excessive computational time, necessitating  heuristic approaches like RLGA for practical solutions. Moreover, the model assumes deterministic values for parameters such as vehicle capacities and time windows, which may not always  capture real-world uncertainty. Incorporating stochastic programming could enhance the model’s robustness. Additionally, fuel consumption is simplified and does not account for real-worldvariability, such as 
vehicle load or road conditions. </t>
  </si>
  <si>
    <t>Future research could address these 
aspects by integrating more detailed operational dynamics.</t>
  </si>
  <si>
    <t xml:space="preserve">Nachhaltigkeitsziele integrieren: z. B. CO₂-Emissionen als „grüne“ Zielgrößen im integrierten Ernte- und Distributionsmodell. </t>
  </si>
  <si>
    <t>Assignment, Vehiclre Routing Problem, Scheduling</t>
  </si>
  <si>
    <t>Farm-to-door Planung</t>
  </si>
  <si>
    <t>Customer Satosfaction</t>
  </si>
  <si>
    <t>Delivery Time for Customer Satisfaction</t>
  </si>
  <si>
    <t>Multi-objective integrated harvest and distribution scheduling for fresh agricultural products with farm-to-door requirements using Q-learning and problem knowledge-based cooperative evolutionary algorithms</t>
  </si>
  <si>
    <t>ma.2025</t>
  </si>
  <si>
    <t>Ma and Pu and Fu</t>
  </si>
  <si>
    <t>Solomon (1987) C101</t>
  </si>
  <si>
    <t>Metaheurisic, Solver</t>
  </si>
  <si>
    <t>Lee et. al.</t>
  </si>
  <si>
    <t>Lin et. al.</t>
  </si>
  <si>
    <t>Selukar et. al.</t>
  </si>
  <si>
    <t>Miao et. al.</t>
  </si>
  <si>
    <t>Wang et. al.</t>
  </si>
  <si>
    <t>Roosta et. al.</t>
  </si>
  <si>
    <t>Ma et. al.</t>
  </si>
  <si>
    <t>Multi-Agent Reinforcement Learning for WEEE Recycling Vehicle Path Planning Based on Graph Attention Networks</t>
  </si>
  <si>
    <t>qv.2024</t>
  </si>
  <si>
    <t xml:space="preserve">Qv et. al. </t>
  </si>
  <si>
    <t>2024 International Conference on New Trends in Computational Intelligenc</t>
  </si>
  <si>
    <t>WEEE Recycling Vehicle Path Planning</t>
  </si>
  <si>
    <t>Limitations</t>
  </si>
  <si>
    <t xml:space="preserve">Nur Simulation / keine Realwelt-Daten: Validierung erfolgt in einer simulierten Umgebung mit zufällig generierten Knoten. Kleines Setup: Beispielhaft nur 20 Recycling-Standorte + 1 Depot und eine Flotte von 4 Fahrzeugen. </t>
  </si>
  <si>
    <t xml:space="preserve">Einsatz in größeren urbanen Szenarien (skalieren auf größere Städte/mehr Knoten).Echtzeitdaten integrieren (z.B. Traffic/Demand in Echtzeit), um die Adaptivität weiter zu erhöhen. Prädiktive Modelle nutzen (Demand/Traffic-Prognosen) für effizientere Planung. Weiterentwicklung der GNN–MARL-Integration als Basis für robustere, dynamische Logistik in Smart Cities. Robustere Dezentralisierung/Koordination (weniger Abhängigkeit von zentraler Instanz) und Tests unter stärkerer Multi-Agent-Konfliktdichte. (abgeleitet aus dem beschriebenen Mechanismus) </t>
  </si>
  <si>
    <t>WEEE Recycling Routing</t>
  </si>
  <si>
    <t>Fuel</t>
  </si>
  <si>
    <t>min(cost, fuel)</t>
  </si>
  <si>
    <t>GAT</t>
  </si>
  <si>
    <t>shar.2023</t>
  </si>
  <si>
    <t>Shar et. al.</t>
  </si>
  <si>
    <t>2023 IEEE 19th International Conference on Automation Science and Engineering</t>
  </si>
  <si>
    <t>Multi-objective Sustainable Supply Chain Optimization</t>
  </si>
  <si>
    <t>Vereinfachtes Supply-Chain-Setting: nur 1 Produkt, zentral gesteuert, 3 Echelons. Annahmen zu Stochastik: Nachfrage wird (trunkiert) normalverteilt modelliert; Preisprozess für Carbon Credits wird synthetisch/vereinfacht angenommen. Begrenzte Nachhaltigkeitsdimension: Fokus primär auf GHG-Emissionen; soziale Aspekte oder weitere Umweltindikatoren fehlen.  Diskretisierte Aktionen und Parameter: Bestellmengen und Trading-Entscheidungen sind diskretisiert; kann Realwelt-Feinsteuerung einschränken. Operative Kostenstruktur vereinfacht: u. a. feste Lead Times, verlorene Nachfrage (lost sales) statt Backorders, keine Störungen/Disruptionen.</t>
  </si>
  <si>
    <t>Erweiterung auf realistischere Netzwerke: mehrere Produkte, mehrere Lager/Retailer, dezentrale Akteure und Koordinationsmechanismen. Datengetriebenere Unsicherheit: Nutzung realer Nachfrage- und CO₂-Preiszeitreihen, robustere bzw. distributional/robust RL-Ansätze. Mehr Nachhaltigkeitsziele: Erweiterung um z. B. Energieverbrauch, Abfall, Wasser, Arbeits-/Sozialstandards → echte “triple bottom line” MORL. Kontinuierliche Aktionsräume: Einsatz von (multi-objective) Actor-Critic/Policy-Gradient Methoden für kontinuierliche Bestell- und Trading-Mengen.Resilienz &amp; Realismus: variable Lead Times, Backordering, Kapazitätsausfälle, Transportdisruptionen, Multi-Sourcing, Stochastic/Robust Planning.</t>
  </si>
  <si>
    <t>Metaheuristic, Ablation-Studies</t>
  </si>
  <si>
    <t>mohamadi.2024</t>
  </si>
  <si>
    <t>Mohamadi et. al.</t>
  </si>
  <si>
    <t>vendor-managed inventory in perishable supply chain management</t>
  </si>
  <si>
    <t>perishable inventory management</t>
  </si>
  <si>
    <t>Shortage</t>
  </si>
  <si>
    <t>Cost for Shortage and Waste</t>
  </si>
  <si>
    <t>min (Shortage + Min. Wastage + Min. Constraint-Violations (Penalty) + Max. Fulfillment)</t>
  </si>
  <si>
    <t>hopken.2023</t>
  </si>
  <si>
    <t>Höpken et. al.</t>
  </si>
  <si>
    <t>16th CIRP Conference on Intelligent Computation in Manufacturing Engineering</t>
  </si>
  <si>
    <t xml:space="preserve">Delivery scheduling </t>
  </si>
  <si>
    <t>Realtime Data integration</t>
  </si>
  <si>
    <t>Distribution Scheduling</t>
  </si>
  <si>
    <t>Reduction of food waste</t>
  </si>
  <si>
    <t>min(waste)</t>
  </si>
  <si>
    <t>Heterogen</t>
  </si>
  <si>
    <t>Discrete-time allocation model, No consideration of random large-scale disruptions (e.g., epidemics),No modeling of retailer conflict of interest (non-cooperative settings), Risk factors not explicitly modeled</t>
  </si>
  <si>
    <t xml:space="preserve">Extend the model to multi-product allocation problems with heterogeneous shelf lives, Develop continuous-time inventory allocation frameworks, </t>
  </si>
  <si>
    <t>fjsp</t>
  </si>
  <si>
    <t>Paywall, FJSP</t>
  </si>
  <si>
    <t>Man</t>
  </si>
  <si>
    <t>Agricultural Site Selection and Logistics Optimization</t>
  </si>
  <si>
    <t>moor.2022</t>
  </si>
  <si>
    <t>Moor et. al.</t>
  </si>
  <si>
    <t>Cost for Perishing/ Waste</t>
  </si>
  <si>
    <t>min(cost)</t>
  </si>
  <si>
    <t>Ablation-Studies, Heuristik</t>
  </si>
  <si>
    <t>Begrenzter Problemumfang: Betrachtet wird nur das konventionelle perishables Inventory-Setting; keine weiteren SCM-Erweiterungen (z. B. andere Strukturen/Settings).</t>
  </si>
  <si>
    <t>Erweiterung auf andere Problemsettings über das „konventionelle“ perishable Inventory-Problem hinaus, z. B. Nicht-Stationarität explizit einbauen. ransfer auf andere Inventory-/Operations-Probleme (auch non-perishable wird als naheliegende Erweiterung genannt).</t>
  </si>
  <si>
    <t>Multi-agent Systems Modelling for Evaluating Joint Delivery Systems</t>
  </si>
  <si>
    <t>wangapisit.2014</t>
  </si>
  <si>
    <t>8 th International Conference on City Logistics</t>
  </si>
  <si>
    <t>Wangapisit et. al.</t>
  </si>
  <si>
    <t>VRP Stochastic time window for joint delivery</t>
  </si>
  <si>
    <t>Emission reduction urban freight carrier</t>
  </si>
  <si>
    <t>Env /Eco</t>
  </si>
  <si>
    <r>
      <t xml:space="preserve">Die Emissionen werden </t>
    </r>
    <r>
      <rPr>
        <b/>
        <sz val="11"/>
        <color theme="1"/>
        <rFont val="Calibri"/>
        <family val="2"/>
        <scheme val="minor"/>
      </rPr>
      <t>nach dem Routing</t>
    </r>
    <r>
      <rPr>
        <sz val="11"/>
        <color theme="1"/>
        <rFont val="Calibri"/>
        <family val="2"/>
        <scheme val="minor"/>
      </rPr>
      <t xml:space="preserve"> für jede gefahrene Strecke (i,j)(i,j)(i,j) über </t>
    </r>
    <r>
      <rPr>
        <b/>
        <sz val="11"/>
        <color theme="1"/>
        <rFont val="Calibri"/>
        <family val="2"/>
        <scheme val="minor"/>
      </rPr>
      <t>Formeln als Funktion von Distanz lijl_{ij}lij​</t>
    </r>
    <r>
      <rPr>
        <sz val="11"/>
        <color theme="1"/>
        <rFont val="Calibri"/>
        <family val="2"/>
        <scheme val="minor"/>
      </rPr>
      <t xml:space="preserve"> und </t>
    </r>
    <r>
      <rPr>
        <b/>
        <sz val="11"/>
        <color theme="1"/>
        <rFont val="Calibri"/>
        <family val="2"/>
        <scheme val="minor"/>
      </rPr>
      <t>Geschwindigkeit vijv_{ij}vij​</t>
    </r>
    <r>
      <rPr>
        <sz val="11"/>
        <color theme="1"/>
        <rFont val="Calibri"/>
        <family val="2"/>
        <scheme val="minor"/>
      </rPr>
      <t xml:space="preserve"> (NOx/CO₂/SPM) berechnet und über alle Fahrten aggregiert. Sie gehen </t>
    </r>
    <r>
      <rPr>
        <b/>
        <sz val="11"/>
        <color theme="1"/>
        <rFont val="Calibri"/>
        <family val="2"/>
        <scheme val="minor"/>
      </rPr>
      <t>nicht</t>
    </r>
    <r>
      <rPr>
        <sz val="11"/>
        <color theme="1"/>
        <rFont val="Calibri"/>
        <family val="2"/>
        <scheme val="minor"/>
      </rPr>
      <t xml:space="preserve"> in die Routing-Zielfunktion ein, sondern wirken </t>
    </r>
    <r>
      <rPr>
        <b/>
        <sz val="11"/>
        <color theme="1"/>
        <rFont val="Calibri"/>
        <family val="2"/>
        <scheme val="minor"/>
      </rPr>
      <t>indirekt</t>
    </r>
    <r>
      <rPr>
        <sz val="11"/>
        <color theme="1"/>
        <rFont val="Calibri"/>
        <family val="2"/>
        <scheme val="minor"/>
      </rPr>
      <t xml:space="preserve"> über das Multi-Agent-System (z. B. Emission &gt; Limit ⇒ Beschwerden ⇒ Politikmaßnahmen wie Parkraummanagement/UDC-Förderung ⇒ anderes Verhalten/Routing).</t>
    </r>
  </si>
  <si>
    <t>VRP</t>
  </si>
  <si>
    <t>Synthetisches/kleines Testnetz (toy network), keine Validierung auf realen Stadtdaten; vereinfachende Annahmen. Emissionen nur als Output/Indikator, nicht als direktes Optimierungsziel oder harte Nebenbedingung im Routing. Anwendung auf reales Netzwerk (real road network / real case study). Weitere operative Schemata evaluieren, z. B. Split Deliveries der Neutral Carrier.</t>
  </si>
  <si>
    <t>perishability reduction</t>
  </si>
  <si>
    <t>kara.2018</t>
  </si>
  <si>
    <t>Kara &amp; Dogan</t>
  </si>
  <si>
    <t>Inventory control for perishable products</t>
  </si>
  <si>
    <t>Perishable inventory / waste reduction (less outdating &amp; disposal)</t>
  </si>
  <si>
    <t>Reinforcement learning approach for resource allocation in humanitarian logistics</t>
  </si>
  <si>
    <t>yu.2021</t>
  </si>
  <si>
    <t>Yu et. al.</t>
  </si>
  <si>
    <t>Humanitarian Logistics (Disaster Relief Resource Allocation)</t>
  </si>
  <si>
    <t>Cost for Equity</t>
  </si>
  <si>
    <t>Dynamic Programming, Heuristic</t>
  </si>
  <si>
    <t>Ressouce Allocation</t>
  </si>
  <si>
    <t>Deterministic demand assumption (demand known and fixed); classic/tabular Q-learning only; convergence to local optima when C &gt; 1; no comparison with other approximate dynamic programming methods; tested only on synthetic small-scale instances</t>
  </si>
  <si>
    <t>Extend to stochastic/random demand; develop improved Q-learning strategies to escape local optima (especially for C &gt; 1); explore other RL algorithms; compare with approximate dynamic programming (e.g., rollout algorithm); apply to larger-scale and more realistic settings</t>
  </si>
  <si>
    <t>esmaeiliavval.2022</t>
  </si>
  <si>
    <t>Avval et. al.</t>
  </si>
  <si>
    <t>Comp. Appl. Math. (Computational and Applied Mathematics)</t>
  </si>
  <si>
    <t>Design von CO₂-Auktionsmechanismen</t>
  </si>
  <si>
    <t>Stationäre Nachfrageannahmen (keine Unsicherheit modelliert), Keine realen Marktdaten (Simulationsstudie), Begrenzte Anzahl an Supply Chains, Vereinfachte Emissionsstruktur (nur Produktion, Transport, Lager)</t>
  </si>
  <si>
    <t>Integration von Unsicherheit (Nachfrage, Preise, regulatorische Änderungen), Erweiterung auf: Mehrstufige globale Supply Chains, Internationale Emissionshandelssysteme, Empirische Validierung mit realen ETS-Daten</t>
  </si>
  <si>
    <t>CO₂-Emissionsmanagement / Cap-and-Trade</t>
  </si>
  <si>
    <t>max(Profit)</t>
  </si>
  <si>
    <t>Roth erev RL</t>
  </si>
  <si>
    <t>A Q-learning-based multi-objective evolutionary algorithm for integrated green production and distribution scheduling problems</t>
  </si>
  <si>
    <t>Hou et. al.</t>
  </si>
  <si>
    <t>hou.2024</t>
  </si>
  <si>
    <t>Integrated distribution and production scheduling</t>
  </si>
  <si>
    <t>Annahme identischer Flow Shops, Diskrete Verarbeitungsgeschwindigkeiten (keine kontinuierlichen Geschwindigkeiten), Statische Planung (keine dynamischen Störungen wie Maschinenausfälle oder Echtzeit-Aufträge), Feste Emissionsfaktoren und deterministische Parameter, Fahrzeugrouting ohne Unsicherheiten (z. B. Verkehr, Verzögerungen)</t>
  </si>
  <si>
    <t xml:space="preserve">Erweiterung auf dynamische und stochastische Umgebungen, Berücksichtigung von Maschinenausfällen oder Echtzeit-Rescheduling, Integration weiterer Nachhaltigkeitskriterien (z. B. Kosten, Energiepreise, soziale Faktoren), Untersuchung heterogener Fabrikstrukturen, Skalierung auf größere reale Industrieinstanzen, </t>
  </si>
  <si>
    <t>min(Emissions, tardiness)</t>
  </si>
  <si>
    <t>Tardiness</t>
  </si>
  <si>
    <r>
      <t xml:space="preserve">Emissionen (TCE) und Verspätung (TT) gehen als </t>
    </r>
    <r>
      <rPr>
        <b/>
        <sz val="11"/>
        <color theme="1"/>
        <rFont val="Calibri"/>
        <family val="2"/>
        <scheme val="minor"/>
      </rPr>
      <t>zwei getrennte Zielfunktionen</t>
    </r>
    <r>
      <rPr>
        <sz val="11"/>
        <color theme="1"/>
        <rFont val="Calibri"/>
        <family val="2"/>
        <scheme val="minor"/>
      </rPr>
      <t xml:space="preserve"> in ein bi-objektives Minimierungsmodell ein: min⁡TT\min TTminTT und min⁡TCE\min TCEminTCE. Dabei ist TT die Summe der positiven Lieferverzögerungen ∑max⁡(φk−dk,0)\sum \max(\varphi_k - d_k, 0)∑max(φk​−dk​,0), während TCE die Summe der produktions-, Leerlauf- und transportbedingten CO₂-Emissionen ist, die aus Energieverbrauch und Fahrzeuginformationen berechnet werden.</t>
    </r>
  </si>
  <si>
    <t>VRP, Flow Shop</t>
  </si>
  <si>
    <t>Ablation-Studies, Metaheuristic, Solver</t>
  </si>
  <si>
    <t>Energy, Fuel</t>
  </si>
  <si>
    <t>Cost, Makespan</t>
  </si>
  <si>
    <t>esmaeiliavval.2022, zou.2024, wang.2024b, abuzwaida.2021, yu.2021, zhao.2025c,moor.2022,guo.2023</t>
  </si>
  <si>
    <t>SARL</t>
  </si>
  <si>
    <t>MARL</t>
  </si>
  <si>
    <t>Knapsack</t>
  </si>
  <si>
    <t>Flexible Jobshop Scheduling</t>
  </si>
  <si>
    <t>Vehicle Routing</t>
  </si>
  <si>
    <t>Dynamic Matching</t>
  </si>
  <si>
    <t>Travelling Salesman</t>
  </si>
  <si>
    <t>Ressource Allocation</t>
  </si>
  <si>
    <t xml:space="preserve">Assignment </t>
  </si>
  <si>
    <t>Assignment</t>
  </si>
  <si>
    <t>Flow Shop</t>
  </si>
  <si>
    <t>Eco</t>
  </si>
  <si>
    <t>Soc</t>
  </si>
  <si>
    <t>DDPG</t>
  </si>
  <si>
    <t>Distribution</t>
  </si>
  <si>
    <t>K-Means</t>
  </si>
  <si>
    <t>Methods combined with</t>
  </si>
  <si>
    <t>Publication count</t>
  </si>
  <si>
    <t>Distribution Planning</t>
  </si>
  <si>
    <t>Production Planning</t>
  </si>
  <si>
    <t>Transport planning &amp; Routing</t>
  </si>
  <si>
    <t>Production Control &amp; Scheduling</t>
  </si>
  <si>
    <t>Ordering</t>
  </si>
  <si>
    <t xml:space="preserve">Ressource Allocation </t>
  </si>
  <si>
    <t>Cross Horizontal</t>
  </si>
  <si>
    <t>Demand Fulfilment</t>
  </si>
  <si>
    <t>Site Selection</t>
  </si>
  <si>
    <t>Environmenal</t>
  </si>
  <si>
    <t>Social</t>
  </si>
  <si>
    <t>Economic</t>
  </si>
  <si>
    <t>Table-based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</si>
</sst>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1"/>
      <color rgb="FFFF0000"/>
      <name val="Calibri"/>
      <family val="2"/>
      <scheme val="minor"/>
    </font>
  </fonts>
  <fills count="9">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0" fillId="0" borderId="1" xfId="0" applyBorder="1"/>
    <xf numFmtId="0" fontId="1" fillId="2" borderId="1" xfId="0" applyFont="1" applyFill="1" applyBorder="1"/>
    <xf numFmtId="0" fontId="2" fillId="0" borderId="1" xfId="1" applyBorder="1"/>
    <xf numFmtId="0" fontId="1" fillId="0" borderId="1" xfId="0" applyFont="1" applyBorder="1"/>
    <xf numFmtId="0" fontId="0" fillId="6" borderId="1" xfId="0" applyFill="1" applyBorder="1"/>
    <xf numFmtId="0" fontId="0" fillId="6" borderId="0" xfId="0" applyFill="1"/>
    <xf numFmtId="0" fontId="4" fillId="6" borderId="1" xfId="0" applyFont="1" applyFill="1" applyBorder="1"/>
    <xf numFmtId="0" fontId="0" fillId="6" borderId="2" xfId="0" applyFill="1" applyBorder="1"/>
    <xf numFmtId="0" fontId="0" fillId="7" borderId="1" xfId="0" applyFill="1" applyBorder="1"/>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horizontal="center" wrapText="1"/>
    </xf>
    <xf numFmtId="0" fontId="0" fillId="0" borderId="1" xfId="0" quotePrefix="1" applyBorder="1"/>
    <xf numFmtId="0" fontId="0" fillId="0" borderId="1" xfId="0" applyBorder="1" applyAlignment="1">
      <alignment horizontal="left"/>
    </xf>
    <xf numFmtId="0" fontId="0" fillId="6" borderId="1" xfId="0" applyFill="1" applyBorder="1" applyAlignment="1">
      <alignment wrapText="1"/>
    </xf>
    <xf numFmtId="0" fontId="0" fillId="8" borderId="1" xfId="0" applyFill="1" applyBorder="1"/>
    <xf numFmtId="0" fontId="0" fillId="8" borderId="3" xfId="0" applyFill="1" applyBorder="1"/>
    <xf numFmtId="0" fontId="0" fillId="0" borderId="2" xfId="0" applyBorder="1"/>
    <xf numFmtId="0" fontId="0" fillId="7" borderId="0" xfId="0" applyFill="1"/>
    <xf numFmtId="0" fontId="1" fillId="0" borderId="0" xfId="0" applyFont="1"/>
    <xf numFmtId="0" fontId="0" fillId="0" borderId="2" xfId="0" applyBorder="1" applyAlignment="1">
      <alignment horizontal="center"/>
    </xf>
    <xf numFmtId="0" fontId="9" fillId="7" borderId="1" xfId="0" applyFont="1" applyFill="1" applyBorder="1"/>
    <xf numFmtId="0" fontId="2" fillId="0" borderId="1" xfId="1" applyFill="1" applyBorder="1"/>
    <xf numFmtId="0" fontId="1" fillId="0" borderId="1" xfId="0" applyFont="1" applyBorder="1" applyAlignment="1">
      <alignment horizontal="center"/>
    </xf>
    <xf numFmtId="0" fontId="0" fillId="5" borderId="4" xfId="0" applyFill="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3" fontId="1" fillId="0" borderId="1" xfId="0" applyNumberFormat="1" applyFont="1" applyBorder="1" applyAlignment="1">
      <alignment horizontal="center" vertical="center"/>
    </xf>
    <xf numFmtId="0" fontId="0" fillId="0" borderId="1" xfId="0" applyBorder="1" applyAlignment="1">
      <alignment horizontal="center" vertical="center"/>
    </xf>
    <xf numFmtId="0" fontId="1" fillId="3" borderId="1" xfId="0" applyFont="1" applyFill="1" applyBorder="1" applyAlignment="1">
      <alignment horizontal="center" wrapText="1"/>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0" fillId="5" borderId="5" xfId="0" applyFill="1" applyBorder="1" applyAlignment="1">
      <alignment horizontal="center"/>
    </xf>
    <xf numFmtId="0" fontId="0" fillId="0" borderId="1" xfId="0" applyBorder="1" applyAlignment="1">
      <alignment horizontal="center"/>
    </xf>
    <xf numFmtId="0" fontId="1" fillId="4" borderId="1" xfId="0" applyFont="1" applyFill="1" applyBorder="1" applyAlignment="1">
      <alignment horizontal="center" wrapText="1"/>
    </xf>
    <xf numFmtId="0" fontId="1" fillId="2" borderId="6"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80/23302674.2024.2396432" TargetMode="External"/><Relationship Id="rId21" Type="http://schemas.openxmlformats.org/officeDocument/2006/relationships/hyperlink" Target="https://doi.org/10.3390/su14105805" TargetMode="External"/><Relationship Id="rId42" Type="http://schemas.openxmlformats.org/officeDocument/2006/relationships/hyperlink" Target="https://doi.org/10.1109/ACCESS.2022.3205720" TargetMode="External"/><Relationship Id="rId47" Type="http://schemas.openxmlformats.org/officeDocument/2006/relationships/hyperlink" Target="https://doi.org/10.1016/j.commtr.2024.100153" TargetMode="External"/><Relationship Id="rId63" Type="http://schemas.openxmlformats.org/officeDocument/2006/relationships/hyperlink" Target="https://doi.org/10.1016/j.tre.2025.104367" TargetMode="External"/><Relationship Id="rId68" Type="http://schemas.openxmlformats.org/officeDocument/2006/relationships/hyperlink" Target="https://doi.org/10.1016/j.ifacol.2023.10.814" TargetMode="External"/><Relationship Id="rId84" Type="http://schemas.openxmlformats.org/officeDocument/2006/relationships/hyperlink" Target="https://doi.org/10.1016/j.tre.2025.104191" TargetMode="External"/><Relationship Id="rId89" Type="http://schemas.openxmlformats.org/officeDocument/2006/relationships/hyperlink" Target="https://doi.org/10.1016/j.eswa.2014.07.007" TargetMode="External"/><Relationship Id="rId16" Type="http://schemas.openxmlformats.org/officeDocument/2006/relationships/hyperlink" Target="https://doi.org/10.1016/j.techfore.2024.123841" TargetMode="External"/><Relationship Id="rId11" Type="http://schemas.openxmlformats.org/officeDocument/2006/relationships/hyperlink" Target="https://doi.org/10.1109/ICCSAI64074.2025.11063820" TargetMode="External"/><Relationship Id="rId32" Type="http://schemas.openxmlformats.org/officeDocument/2006/relationships/hyperlink" Target="https://doi.org/10.3390/app14188479" TargetMode="External"/><Relationship Id="rId37" Type="http://schemas.openxmlformats.org/officeDocument/2006/relationships/hyperlink" Target="https://doi.org/10.1109/ACCESS.2024.3521439" TargetMode="External"/><Relationship Id="rId53" Type="http://schemas.openxmlformats.org/officeDocument/2006/relationships/hyperlink" Target="https://doi.org/10.1016/j.engappai.2023.107403" TargetMode="External"/><Relationship Id="rId58" Type="http://schemas.openxmlformats.org/officeDocument/2006/relationships/hyperlink" Target="https://doi.org/10.1016/j.socimp.2025.100109" TargetMode="External"/><Relationship Id="rId74" Type="http://schemas.openxmlformats.org/officeDocument/2006/relationships/hyperlink" Target="https://doi.org/10.1016/j.forpol.2025.103456" TargetMode="External"/><Relationship Id="rId79" Type="http://schemas.openxmlformats.org/officeDocument/2006/relationships/hyperlink" Target="https://doi.org/10.1016/B978-0-12-818634-3.50252-6" TargetMode="External"/><Relationship Id="rId102" Type="http://schemas.openxmlformats.org/officeDocument/2006/relationships/hyperlink" Target="https://doi.org/10.1016/j.cie.2025.111583" TargetMode="External"/><Relationship Id="rId5" Type="http://schemas.openxmlformats.org/officeDocument/2006/relationships/hyperlink" Target="https://doi.org/10.1109/CASE59546.2024.10711316" TargetMode="External"/><Relationship Id="rId90" Type="http://schemas.openxmlformats.org/officeDocument/2006/relationships/hyperlink" Target="https://doi.org/10.1016/j.sbspro.2014.01.1489" TargetMode="External"/><Relationship Id="rId95" Type="http://schemas.openxmlformats.org/officeDocument/2006/relationships/hyperlink" Target="https://doi.org/10.1111%2Fitor.12758" TargetMode="External"/><Relationship Id="rId22" Type="http://schemas.openxmlformats.org/officeDocument/2006/relationships/hyperlink" Target="https://doi.org/10.1080/00207543.2021.2020927" TargetMode="External"/><Relationship Id="rId27" Type="http://schemas.openxmlformats.org/officeDocument/2006/relationships/hyperlink" Target="https://doi.org/10.1080/00207543.2025.2529550" TargetMode="External"/><Relationship Id="rId43" Type="http://schemas.openxmlformats.org/officeDocument/2006/relationships/hyperlink" Target="https://doi.org/10.3390/a17030098" TargetMode="External"/><Relationship Id="rId48" Type="http://schemas.openxmlformats.org/officeDocument/2006/relationships/hyperlink" Target="https://doi.org/10.1016/j.tre.2024.103547" TargetMode="External"/><Relationship Id="rId64" Type="http://schemas.openxmlformats.org/officeDocument/2006/relationships/hyperlink" Target="https://doi.org/10.1016/j.asoc.2019.105921" TargetMode="External"/><Relationship Id="rId69" Type="http://schemas.openxmlformats.org/officeDocument/2006/relationships/hyperlink" Target="https://doi.org/10.1016/j.tre.2025.104213" TargetMode="External"/><Relationship Id="rId80" Type="http://schemas.openxmlformats.org/officeDocument/2006/relationships/hyperlink" Target="https://doi.org/10.1016/j.cie.2024.110149" TargetMode="External"/><Relationship Id="rId85" Type="http://schemas.openxmlformats.org/officeDocument/2006/relationships/hyperlink" Target="https://doi.org/10.1016/j.procs.2024.02.062" TargetMode="External"/><Relationship Id="rId12" Type="http://schemas.openxmlformats.org/officeDocument/2006/relationships/hyperlink" Target="https://doi.org/10.1109/ICCCIS60361.2023.10425106" TargetMode="External"/><Relationship Id="rId17" Type="http://schemas.openxmlformats.org/officeDocument/2006/relationships/hyperlink" Target="https://doi.org/10.1080/24725854.2023.2217248" TargetMode="External"/><Relationship Id="rId33" Type="http://schemas.openxmlformats.org/officeDocument/2006/relationships/hyperlink" Target="https://doi.org/10.1007/s10696-023-09496-9" TargetMode="External"/><Relationship Id="rId38" Type="http://schemas.openxmlformats.org/officeDocument/2006/relationships/hyperlink" Target="https://doi.org/10.1080/0951192X.2022.2025623" TargetMode="External"/><Relationship Id="rId59" Type="http://schemas.openxmlformats.org/officeDocument/2006/relationships/hyperlink" Target="https://doi.org/10.1016/j.cie.2024.110578" TargetMode="External"/><Relationship Id="rId103" Type="http://schemas.openxmlformats.org/officeDocument/2006/relationships/hyperlink" Target="https://doi.org/10.1016/j.eswa.2025.130035" TargetMode="External"/><Relationship Id="rId20" Type="http://schemas.openxmlformats.org/officeDocument/2006/relationships/hyperlink" Target="https://doi.org/10.1016/j.ijpe.2023.109099" TargetMode="External"/><Relationship Id="rId41" Type="http://schemas.openxmlformats.org/officeDocument/2006/relationships/hyperlink" Target="https://doi.org/10.1109/CASE56687.2023.10260354" TargetMode="External"/><Relationship Id="rId54" Type="http://schemas.openxmlformats.org/officeDocument/2006/relationships/hyperlink" Target="https://doi.org/10.1016/j.jclepro.2025.144991" TargetMode="External"/><Relationship Id="rId62" Type="http://schemas.openxmlformats.org/officeDocument/2006/relationships/hyperlink" Target="https://doi.org/10.1016/j.ejor.2017.07.014" TargetMode="External"/><Relationship Id="rId70" Type="http://schemas.openxmlformats.org/officeDocument/2006/relationships/hyperlink" Target="https://doi.org/10.1016/j.engappai.2025.111187" TargetMode="External"/><Relationship Id="rId75" Type="http://schemas.openxmlformats.org/officeDocument/2006/relationships/hyperlink" Target="https://doi.org/10.1016/j.asoc.2025.112764" TargetMode="External"/><Relationship Id="rId83" Type="http://schemas.openxmlformats.org/officeDocument/2006/relationships/hyperlink" Target="https://doi.org/10.1016/j.tre.2025.104375" TargetMode="External"/><Relationship Id="rId88" Type="http://schemas.openxmlformats.org/officeDocument/2006/relationships/hyperlink" Target="https://doi.org/10.1109/IJCNN52387.2021.9534127" TargetMode="External"/><Relationship Id="rId91" Type="http://schemas.openxmlformats.org/officeDocument/2006/relationships/hyperlink" Target="https://doi.org/10.1016/j.procs.2017.05.422" TargetMode="External"/><Relationship Id="rId96" Type="http://schemas.openxmlformats.org/officeDocument/2006/relationships/hyperlink" Target="https://doi.org/10.1016/j.eswa.2021.114663" TargetMode="External"/><Relationship Id="rId1" Type="http://schemas.openxmlformats.org/officeDocument/2006/relationships/hyperlink" Target="https://doi.org/10.3390/su16114329" TargetMode="External"/><Relationship Id="rId6" Type="http://schemas.openxmlformats.org/officeDocument/2006/relationships/hyperlink" Target="https://doi.org/10.1109/ICSCSS60660.2024.10624822" TargetMode="External"/><Relationship Id="rId15" Type="http://schemas.openxmlformats.org/officeDocument/2006/relationships/hyperlink" Target="https://doi.org/10.1016/j.dche.2022.100073" TargetMode="External"/><Relationship Id="rId23" Type="http://schemas.openxmlformats.org/officeDocument/2006/relationships/hyperlink" Target="https://doi.org/10.71465/fbf253" TargetMode="External"/><Relationship Id="rId28" Type="http://schemas.openxmlformats.org/officeDocument/2006/relationships/hyperlink" Target="https://doi.org/10.1016/j.suscom.2024.101063" TargetMode="External"/><Relationship Id="rId36" Type="http://schemas.openxmlformats.org/officeDocument/2006/relationships/hyperlink" Target="https://doi.org/10.1007/978-3-031-90062-4_12" TargetMode="External"/><Relationship Id="rId49" Type="http://schemas.openxmlformats.org/officeDocument/2006/relationships/hyperlink" Target="https://doi.org/10.1016/j.tre.2023.103234" TargetMode="External"/><Relationship Id="rId57" Type="http://schemas.openxmlformats.org/officeDocument/2006/relationships/hyperlink" Target="https://doi.org/10.1016/j.procs.2024.02.075" TargetMode="External"/><Relationship Id="rId106" Type="http://schemas.openxmlformats.org/officeDocument/2006/relationships/printerSettings" Target="../printerSettings/printerSettings1.bin"/><Relationship Id="rId10" Type="http://schemas.openxmlformats.org/officeDocument/2006/relationships/hyperlink" Target="https://doi.org/10.1109/BITCON63716.2024.10985474" TargetMode="External"/><Relationship Id="rId31" Type="http://schemas.openxmlformats.org/officeDocument/2006/relationships/hyperlink" Target="https://doi.org/10.1038/s41598-025-10512-1" TargetMode="External"/><Relationship Id="rId44" Type="http://schemas.openxmlformats.org/officeDocument/2006/relationships/hyperlink" Target="https://doi.org/10.1016/j.cie.2024.110755" TargetMode="External"/><Relationship Id="rId52" Type="http://schemas.openxmlformats.org/officeDocument/2006/relationships/hyperlink" Target="https://doi.org/10.1016/j.suscom.2024.101063" TargetMode="External"/><Relationship Id="rId60" Type="http://schemas.openxmlformats.org/officeDocument/2006/relationships/hyperlink" Target="https://doi.org/10.1016/j.cie.2024.110165" TargetMode="External"/><Relationship Id="rId65" Type="http://schemas.openxmlformats.org/officeDocument/2006/relationships/hyperlink" Target="https://doi.org/10.1016/j.elerap.2024.101455" TargetMode="External"/><Relationship Id="rId73" Type="http://schemas.openxmlformats.org/officeDocument/2006/relationships/hyperlink" Target="https://doi.org/10.1016/j.procir.2023.06.013" TargetMode="External"/><Relationship Id="rId78" Type="http://schemas.openxmlformats.org/officeDocument/2006/relationships/hyperlink" Target="https://doi.org/10.1016/j.rcim.2025.102959" TargetMode="External"/><Relationship Id="rId81" Type="http://schemas.openxmlformats.org/officeDocument/2006/relationships/hyperlink" Target="https://doi.org/10.1016/j.compchemeng.2018.11.020" TargetMode="External"/><Relationship Id="rId86" Type="http://schemas.openxmlformats.org/officeDocument/2006/relationships/hyperlink" Target="https://doi.org/10.1016/j.engappai.2025.110987" TargetMode="External"/><Relationship Id="rId94" Type="http://schemas.openxmlformats.org/officeDocument/2006/relationships/hyperlink" Target="https://doi.org/10.1016/j.ejor.2019.11.025" TargetMode="External"/><Relationship Id="rId99" Type="http://schemas.openxmlformats.org/officeDocument/2006/relationships/hyperlink" Target="https://doi.org/10.1080/07408170600897536" TargetMode="External"/><Relationship Id="rId101" Type="http://schemas.openxmlformats.org/officeDocument/2006/relationships/hyperlink" Target="https://doi.org/10.1016/j.ijpe.2009.06.011" TargetMode="External"/><Relationship Id="rId4" Type="http://schemas.openxmlformats.org/officeDocument/2006/relationships/hyperlink" Target="https://doi.org/10.1109/CASE56687.2023.10260354" TargetMode="External"/><Relationship Id="rId9" Type="http://schemas.openxmlformats.org/officeDocument/2006/relationships/hyperlink" Target="https://doi.org/10.1109/IC_ASET49463.2020.9318258" TargetMode="External"/><Relationship Id="rId13" Type="http://schemas.openxmlformats.org/officeDocument/2006/relationships/hyperlink" Target="http://dx.doi.org/10.52783/jes.2394" TargetMode="External"/><Relationship Id="rId18" Type="http://schemas.openxmlformats.org/officeDocument/2006/relationships/hyperlink" Target="https://doi.org/10.1007/s10845-023-02258-2" TargetMode="External"/><Relationship Id="rId39" Type="http://schemas.openxmlformats.org/officeDocument/2006/relationships/hyperlink" Target="https://doi.org/10.1016/j.elerap.2024.101455" TargetMode="External"/><Relationship Id="rId34" Type="http://schemas.openxmlformats.org/officeDocument/2006/relationships/hyperlink" Target="https://doi.org/10.3390/electronics14010066" TargetMode="External"/><Relationship Id="rId50" Type="http://schemas.openxmlformats.org/officeDocument/2006/relationships/hyperlink" Target="https://doi.org/10.1016/j.engappai.2023.107434" TargetMode="External"/><Relationship Id="rId55" Type="http://schemas.openxmlformats.org/officeDocument/2006/relationships/hyperlink" Target="https://doi.org/10.1016/j.compchemeng.2025.109111" TargetMode="External"/><Relationship Id="rId76" Type="http://schemas.openxmlformats.org/officeDocument/2006/relationships/hyperlink" Target="https://doi.org/10.1016/j.procir.2023.09.221" TargetMode="External"/><Relationship Id="rId97" Type="http://schemas.openxmlformats.org/officeDocument/2006/relationships/hyperlink" Target="https://doi.org/10.1016/j.cie.2022.107971" TargetMode="External"/><Relationship Id="rId104" Type="http://schemas.openxmlformats.org/officeDocument/2006/relationships/hyperlink" Target="https://doi.org/10.1016/j.knosys.2025.115171" TargetMode="External"/><Relationship Id="rId7" Type="http://schemas.openxmlformats.org/officeDocument/2006/relationships/hyperlink" Target="https://doi.org/10.1109/ICCS62594.2024.10795844" TargetMode="External"/><Relationship Id="rId71" Type="http://schemas.openxmlformats.org/officeDocument/2006/relationships/hyperlink" Target="https://doi.org/10.1016/j.asoc.2024.112660" TargetMode="External"/><Relationship Id="rId92" Type="http://schemas.openxmlformats.org/officeDocument/2006/relationships/hyperlink" Target="https://doi.org/10.1016/j.tre.2019.02.011" TargetMode="External"/><Relationship Id="rId2" Type="http://schemas.openxmlformats.org/officeDocument/2006/relationships/hyperlink" Target="https://doi.org/10.1109/NTCI64025.2024.10776153" TargetMode="External"/><Relationship Id="rId29" Type="http://schemas.openxmlformats.org/officeDocument/2006/relationships/hyperlink" Target="https://doi.org/10.3390/su17136079" TargetMode="External"/><Relationship Id="rId24" Type="http://schemas.openxmlformats.org/officeDocument/2006/relationships/hyperlink" Target="https://doi.org/10.3390/s25030955" TargetMode="External"/><Relationship Id="rId40" Type="http://schemas.openxmlformats.org/officeDocument/2006/relationships/hyperlink" Target="https://doi.org/10.1007/s10458-024-09669-2" TargetMode="External"/><Relationship Id="rId45" Type="http://schemas.openxmlformats.org/officeDocument/2006/relationships/hyperlink" Target="https://doi.org/10.1016/j.jmsy.2025.03.013" TargetMode="External"/><Relationship Id="rId66" Type="http://schemas.openxmlformats.org/officeDocument/2006/relationships/hyperlink" Target="https://doi.org/10.1016/j.tre.2025.104008" TargetMode="External"/><Relationship Id="rId87" Type="http://schemas.openxmlformats.org/officeDocument/2006/relationships/hyperlink" Target="https://doi.org/10.1016/j.ejor.2021.10.045" TargetMode="External"/><Relationship Id="rId61" Type="http://schemas.openxmlformats.org/officeDocument/2006/relationships/hyperlink" Target="https://doi.org/10.1016/j.knosys.2022.109190" TargetMode="External"/><Relationship Id="rId82" Type="http://schemas.openxmlformats.org/officeDocument/2006/relationships/hyperlink" Target="https://doi.org/10.1016/j.ijinfomgt.2019.03.004" TargetMode="External"/><Relationship Id="rId19" Type="http://schemas.openxmlformats.org/officeDocument/2006/relationships/hyperlink" Target="https://dx.doi.org/10.2139/ssrn.4119541" TargetMode="External"/><Relationship Id="rId14" Type="http://schemas.openxmlformats.org/officeDocument/2006/relationships/hyperlink" Target="https://doi.org/10.1109/ICECCME52200.2021.9590925" TargetMode="External"/><Relationship Id="rId30" Type="http://schemas.openxmlformats.org/officeDocument/2006/relationships/hyperlink" Target="https://doi.org/10.1109/ICOCWC60930.2024.10470863" TargetMode="External"/><Relationship Id="rId35" Type="http://schemas.openxmlformats.org/officeDocument/2006/relationships/hyperlink" Target="https://doi.org/10.1016/j.seta.2022.102038" TargetMode="External"/><Relationship Id="rId56" Type="http://schemas.openxmlformats.org/officeDocument/2006/relationships/hyperlink" Target="https://doi.org/10.1016/j.cie.2023.109669" TargetMode="External"/><Relationship Id="rId77" Type="http://schemas.openxmlformats.org/officeDocument/2006/relationships/hyperlink" Target="https://doi.org/10.1016/j.tre.2024.103518" TargetMode="External"/><Relationship Id="rId100" Type="http://schemas.openxmlformats.org/officeDocument/2006/relationships/hyperlink" Target="https://doi.org/10.1016/j.cie.2022.108811" TargetMode="External"/><Relationship Id="rId105" Type="http://schemas.openxmlformats.org/officeDocument/2006/relationships/hyperlink" Target="https://doi.org/10.1016/j.asoc.2025.114084" TargetMode="External"/><Relationship Id="rId8" Type="http://schemas.openxmlformats.org/officeDocument/2006/relationships/hyperlink" Target="https://doi.org/10.1109/ICMCSI61536.2024.00066" TargetMode="External"/><Relationship Id="rId51" Type="http://schemas.openxmlformats.org/officeDocument/2006/relationships/hyperlink" Target="https://doi.org/10.1680/jtran.24.00163" TargetMode="External"/><Relationship Id="rId72" Type="http://schemas.openxmlformats.org/officeDocument/2006/relationships/hyperlink" Target="https://doi.org/10.1016/j.procir.2021.11.305" TargetMode="External"/><Relationship Id="rId93" Type="http://schemas.openxmlformats.org/officeDocument/2006/relationships/hyperlink" Target="https://doi.org/10.1016/j.eswa.2017.08.046" TargetMode="External"/><Relationship Id="rId98" Type="http://schemas.openxmlformats.org/officeDocument/2006/relationships/hyperlink" Target="https://doi.org/10.1007/s10845-021-01863-3" TargetMode="External"/><Relationship Id="rId3" Type="http://schemas.openxmlformats.org/officeDocument/2006/relationships/hyperlink" Target="https://doi.org/10.1109/IEEM55944.2022.9989643" TargetMode="External"/><Relationship Id="rId25" Type="http://schemas.openxmlformats.org/officeDocument/2006/relationships/hyperlink" Target="https://doi.org/10.3390/su16229996" TargetMode="External"/><Relationship Id="rId46" Type="http://schemas.openxmlformats.org/officeDocument/2006/relationships/hyperlink" Target="https://doi.org/10.1016/j.jii.2024.100598" TargetMode="External"/><Relationship Id="rId67" Type="http://schemas.openxmlformats.org/officeDocument/2006/relationships/hyperlink" Target="https://doi.org/10.1016/j.procs.2025.04.69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EBE3-F4DE-4D5E-BA8E-2B1E9880A4F4}">
  <dimension ref="A1:E232"/>
  <sheetViews>
    <sheetView zoomScale="70" zoomScaleNormal="70" workbookViewId="0">
      <pane ySplit="2" topLeftCell="A195" activePane="bottomLeft" state="frozen"/>
      <selection pane="bottomLeft" activeCell="E204" sqref="E204:E206"/>
    </sheetView>
  </sheetViews>
  <sheetFormatPr defaultRowHeight="14.25" x14ac:dyDescent="0.45"/>
  <cols>
    <col min="1" max="1" width="58.265625" bestFit="1" customWidth="1"/>
    <col min="2" max="2" width="74.3984375" customWidth="1"/>
    <col min="3" max="3" width="36.73046875" bestFit="1" customWidth="1"/>
    <col min="4" max="4" width="17.265625" bestFit="1" customWidth="1"/>
    <col min="5" max="5" width="57.265625" bestFit="1" customWidth="1"/>
  </cols>
  <sheetData>
    <row r="1" spans="1:5" ht="29.25" customHeight="1" x14ac:dyDescent="0.45">
      <c r="A1" s="31" t="s">
        <v>350</v>
      </c>
      <c r="B1" s="31"/>
      <c r="C1" s="31"/>
      <c r="D1" s="31"/>
      <c r="E1" s="31"/>
    </row>
    <row r="2" spans="1:5" x14ac:dyDescent="0.45">
      <c r="A2" s="2" t="s">
        <v>3</v>
      </c>
      <c r="B2" s="2" t="s">
        <v>23</v>
      </c>
      <c r="C2" s="2" t="s">
        <v>130</v>
      </c>
      <c r="D2" s="2" t="s">
        <v>31</v>
      </c>
      <c r="E2" s="2" t="s">
        <v>131</v>
      </c>
    </row>
    <row r="3" spans="1:5" x14ac:dyDescent="0.45">
      <c r="A3" s="32" t="s">
        <v>2</v>
      </c>
      <c r="B3" s="28" t="s">
        <v>132</v>
      </c>
      <c r="C3" s="27" t="s">
        <v>328</v>
      </c>
      <c r="D3" s="26">
        <v>108</v>
      </c>
      <c r="E3" s="23" t="s">
        <v>133</v>
      </c>
    </row>
    <row r="4" spans="1:5" x14ac:dyDescent="0.45">
      <c r="A4" s="33"/>
      <c r="B4" s="28"/>
      <c r="C4" s="27"/>
      <c r="D4" s="26"/>
      <c r="E4" s="1" t="s">
        <v>134</v>
      </c>
    </row>
    <row r="5" spans="1:5" x14ac:dyDescent="0.45">
      <c r="A5" s="33"/>
      <c r="B5" s="28"/>
      <c r="C5" s="27"/>
      <c r="D5" s="26"/>
      <c r="E5" s="1" t="s">
        <v>338</v>
      </c>
    </row>
    <row r="6" spans="1:5" x14ac:dyDescent="0.45">
      <c r="A6" s="33"/>
      <c r="B6" s="28"/>
      <c r="C6" s="27"/>
      <c r="D6" s="26"/>
      <c r="E6" s="1" t="s">
        <v>135</v>
      </c>
    </row>
    <row r="7" spans="1:5" x14ac:dyDescent="0.45">
      <c r="A7" s="33"/>
      <c r="B7" s="28"/>
      <c r="C7" s="27"/>
      <c r="D7" s="26"/>
      <c r="E7" s="1" t="s">
        <v>136</v>
      </c>
    </row>
    <row r="8" spans="1:5" x14ac:dyDescent="0.45">
      <c r="A8" s="33"/>
      <c r="B8" s="28"/>
      <c r="C8" s="27"/>
      <c r="D8" s="26"/>
      <c r="E8" s="1" t="s">
        <v>137</v>
      </c>
    </row>
    <row r="9" spans="1:5" x14ac:dyDescent="0.45">
      <c r="A9" s="33"/>
      <c r="B9" s="28"/>
      <c r="C9" s="27"/>
      <c r="D9" s="26"/>
      <c r="E9" s="1" t="s">
        <v>138</v>
      </c>
    </row>
    <row r="10" spans="1:5" x14ac:dyDescent="0.45">
      <c r="A10" s="33"/>
      <c r="B10" s="28"/>
      <c r="C10" s="27"/>
      <c r="D10" s="26"/>
      <c r="E10" s="1" t="s">
        <v>29</v>
      </c>
    </row>
    <row r="11" spans="1:5" x14ac:dyDescent="0.45">
      <c r="A11" s="33"/>
      <c r="B11" s="28"/>
      <c r="C11" s="27"/>
      <c r="D11" s="26"/>
      <c r="E11" s="1" t="s">
        <v>337</v>
      </c>
    </row>
    <row r="12" spans="1:5" x14ac:dyDescent="0.45">
      <c r="A12" s="33"/>
      <c r="B12" s="28"/>
      <c r="C12" s="27"/>
      <c r="D12" s="26"/>
      <c r="E12" s="1" t="s">
        <v>28</v>
      </c>
    </row>
    <row r="13" spans="1:5" x14ac:dyDescent="0.45">
      <c r="A13" s="33"/>
      <c r="B13" s="28"/>
      <c r="C13" s="27"/>
      <c r="D13" s="26"/>
      <c r="E13" s="1" t="s">
        <v>139</v>
      </c>
    </row>
    <row r="14" spans="1:5" x14ac:dyDescent="0.45">
      <c r="A14" s="33"/>
      <c r="B14" s="28"/>
      <c r="C14" s="27"/>
      <c r="D14" s="26"/>
      <c r="E14" s="1" t="s">
        <v>331</v>
      </c>
    </row>
    <row r="15" spans="1:5" x14ac:dyDescent="0.45">
      <c r="A15" s="33"/>
      <c r="B15" s="28"/>
      <c r="C15" s="27"/>
      <c r="D15" s="26"/>
      <c r="E15" s="1" t="s">
        <v>32</v>
      </c>
    </row>
    <row r="16" spans="1:5" x14ac:dyDescent="0.45">
      <c r="A16" s="33"/>
      <c r="B16" s="28"/>
      <c r="C16" s="27"/>
      <c r="D16" s="26"/>
      <c r="E16" s="1" t="s">
        <v>140</v>
      </c>
    </row>
    <row r="17" spans="1:5" x14ac:dyDescent="0.45">
      <c r="A17" s="33"/>
      <c r="B17" s="28"/>
      <c r="C17" s="27"/>
      <c r="D17" s="26"/>
      <c r="E17" s="1" t="s">
        <v>332</v>
      </c>
    </row>
    <row r="18" spans="1:5" x14ac:dyDescent="0.45">
      <c r="A18" s="33"/>
      <c r="B18" s="28"/>
      <c r="C18" s="27"/>
      <c r="D18" s="26"/>
      <c r="E18" s="1" t="s">
        <v>25</v>
      </c>
    </row>
    <row r="19" spans="1:5" x14ac:dyDescent="0.45">
      <c r="A19" s="33"/>
      <c r="B19" s="28"/>
      <c r="C19" s="27"/>
      <c r="D19" s="26"/>
      <c r="E19" s="1" t="s">
        <v>336</v>
      </c>
    </row>
    <row r="20" spans="1:5" x14ac:dyDescent="0.45">
      <c r="A20" s="33"/>
      <c r="B20" s="28"/>
      <c r="C20" s="27"/>
      <c r="D20" s="26"/>
      <c r="E20" s="1" t="s">
        <v>26</v>
      </c>
    </row>
    <row r="21" spans="1:5" x14ac:dyDescent="0.45">
      <c r="A21" s="33"/>
      <c r="B21" s="28"/>
      <c r="C21" s="27"/>
      <c r="D21" s="26"/>
      <c r="E21" s="1" t="s">
        <v>36</v>
      </c>
    </row>
    <row r="22" spans="1:5" x14ac:dyDescent="0.45">
      <c r="A22" s="33"/>
      <c r="B22" s="28"/>
      <c r="C22" s="27"/>
      <c r="D22" s="26"/>
      <c r="E22" s="1" t="s">
        <v>335</v>
      </c>
    </row>
    <row r="23" spans="1:5" x14ac:dyDescent="0.45">
      <c r="A23" s="33"/>
      <c r="B23" s="28"/>
      <c r="C23" s="27"/>
      <c r="D23" s="26"/>
      <c r="E23" s="1" t="s">
        <v>141</v>
      </c>
    </row>
    <row r="24" spans="1:5" x14ac:dyDescent="0.45">
      <c r="A24" s="33"/>
      <c r="B24" s="28"/>
      <c r="C24" s="27"/>
      <c r="D24" s="26"/>
      <c r="E24" s="1" t="s">
        <v>142</v>
      </c>
    </row>
    <row r="25" spans="1:5" x14ac:dyDescent="0.45">
      <c r="A25" s="33"/>
      <c r="B25" s="28"/>
      <c r="C25" s="27"/>
      <c r="D25" s="26"/>
      <c r="E25" s="1" t="s">
        <v>339</v>
      </c>
    </row>
    <row r="26" spans="1:5" x14ac:dyDescent="0.45">
      <c r="A26" s="33"/>
      <c r="B26" s="28"/>
      <c r="C26" s="27"/>
      <c r="D26" s="26"/>
      <c r="E26" s="1" t="s">
        <v>27</v>
      </c>
    </row>
    <row r="27" spans="1:5" x14ac:dyDescent="0.45">
      <c r="A27" s="33"/>
      <c r="B27" s="28"/>
      <c r="C27" s="27"/>
      <c r="D27" s="26"/>
      <c r="E27" s="1" t="s">
        <v>24</v>
      </c>
    </row>
    <row r="28" spans="1:5" x14ac:dyDescent="0.45">
      <c r="A28" s="33"/>
      <c r="B28" s="28"/>
      <c r="C28" s="27"/>
      <c r="D28" s="26"/>
      <c r="E28" s="1" t="s">
        <v>143</v>
      </c>
    </row>
    <row r="29" spans="1:5" x14ac:dyDescent="0.45">
      <c r="A29" s="33"/>
      <c r="B29" s="28"/>
      <c r="C29" s="27"/>
      <c r="D29" s="26"/>
      <c r="E29" s="1" t="s">
        <v>144</v>
      </c>
    </row>
    <row r="30" spans="1:5" x14ac:dyDescent="0.45">
      <c r="A30" s="33"/>
      <c r="B30" s="28"/>
      <c r="C30" s="27"/>
      <c r="D30" s="26"/>
      <c r="E30" s="1" t="s">
        <v>145</v>
      </c>
    </row>
    <row r="31" spans="1:5" x14ac:dyDescent="0.45">
      <c r="A31" s="33"/>
      <c r="B31" s="28"/>
      <c r="C31" s="27"/>
      <c r="D31" s="26"/>
      <c r="E31" s="1" t="s">
        <v>34</v>
      </c>
    </row>
    <row r="32" spans="1:5" x14ac:dyDescent="0.45">
      <c r="A32" s="33"/>
      <c r="B32" s="28"/>
      <c r="C32" s="27"/>
      <c r="D32" s="26"/>
      <c r="E32" s="1" t="s">
        <v>22</v>
      </c>
    </row>
    <row r="33" spans="1:5" x14ac:dyDescent="0.45">
      <c r="A33" s="33"/>
      <c r="B33" s="28"/>
      <c r="C33" s="27"/>
      <c r="D33" s="26"/>
      <c r="E33" s="1" t="s">
        <v>146</v>
      </c>
    </row>
    <row r="34" spans="1:5" x14ac:dyDescent="0.45">
      <c r="A34" s="33"/>
      <c r="B34" s="28"/>
      <c r="C34" s="27"/>
      <c r="D34" s="26"/>
      <c r="E34" s="1" t="s">
        <v>35</v>
      </c>
    </row>
    <row r="35" spans="1:5" x14ac:dyDescent="0.45">
      <c r="A35" s="33"/>
      <c r="B35" s="28"/>
      <c r="C35" s="27"/>
      <c r="D35" s="26"/>
      <c r="E35" s="1" t="s">
        <v>141</v>
      </c>
    </row>
    <row r="36" spans="1:5" x14ac:dyDescent="0.45">
      <c r="A36" s="33"/>
      <c r="B36" s="28"/>
      <c r="C36" s="27"/>
      <c r="D36" s="26"/>
      <c r="E36" s="1" t="s">
        <v>36</v>
      </c>
    </row>
    <row r="37" spans="1:5" x14ac:dyDescent="0.45">
      <c r="A37" s="33"/>
      <c r="B37" s="28"/>
      <c r="C37" s="27"/>
      <c r="D37" s="26"/>
      <c r="E37" s="1" t="s">
        <v>37</v>
      </c>
    </row>
    <row r="38" spans="1:5" x14ac:dyDescent="0.45">
      <c r="A38" s="33"/>
      <c r="B38" s="28"/>
      <c r="C38" s="27"/>
      <c r="D38" s="26"/>
      <c r="E38" s="1" t="s">
        <v>33</v>
      </c>
    </row>
    <row r="39" spans="1:5" x14ac:dyDescent="0.45">
      <c r="A39" s="33"/>
      <c r="B39" s="28"/>
      <c r="C39" s="27"/>
      <c r="D39" s="26"/>
      <c r="E39" s="1" t="s">
        <v>21</v>
      </c>
    </row>
    <row r="40" spans="1:5" x14ac:dyDescent="0.45">
      <c r="A40" s="33"/>
      <c r="B40" s="28"/>
      <c r="C40" s="27"/>
      <c r="D40" s="26"/>
      <c r="E40" s="1" t="s">
        <v>147</v>
      </c>
    </row>
    <row r="41" spans="1:5" x14ac:dyDescent="0.45">
      <c r="A41" s="33"/>
      <c r="B41" s="28"/>
      <c r="C41" s="27"/>
      <c r="D41" s="26"/>
      <c r="E41" s="1" t="s">
        <v>334</v>
      </c>
    </row>
    <row r="42" spans="1:5" x14ac:dyDescent="0.45">
      <c r="A42" s="33"/>
      <c r="B42" s="28"/>
      <c r="C42" s="27"/>
      <c r="D42" s="26"/>
      <c r="E42" s="1" t="s">
        <v>148</v>
      </c>
    </row>
    <row r="43" spans="1:5" x14ac:dyDescent="0.45">
      <c r="A43" s="33"/>
      <c r="B43" s="28"/>
      <c r="C43" s="27"/>
      <c r="D43" s="26"/>
      <c r="E43" s="1" t="s">
        <v>149</v>
      </c>
    </row>
    <row r="44" spans="1:5" x14ac:dyDescent="0.45">
      <c r="A44" s="33"/>
      <c r="B44" s="28"/>
      <c r="C44" s="27"/>
      <c r="D44" s="26"/>
      <c r="E44" s="1" t="s">
        <v>150</v>
      </c>
    </row>
    <row r="45" spans="1:5" x14ac:dyDescent="0.45">
      <c r="A45" s="33"/>
      <c r="B45" s="28"/>
      <c r="C45" s="27"/>
      <c r="D45" s="26"/>
      <c r="E45" s="1" t="s">
        <v>333</v>
      </c>
    </row>
    <row r="46" spans="1:5" x14ac:dyDescent="0.45">
      <c r="A46" s="33"/>
      <c r="B46" s="28"/>
      <c r="C46" s="27"/>
      <c r="D46" s="26"/>
      <c r="E46" s="1" t="s">
        <v>151</v>
      </c>
    </row>
    <row r="47" spans="1:5" x14ac:dyDescent="0.45">
      <c r="A47" s="33"/>
      <c r="B47" s="28"/>
      <c r="C47" s="27"/>
      <c r="D47" s="26"/>
      <c r="E47" s="1" t="s">
        <v>152</v>
      </c>
    </row>
    <row r="48" spans="1:5" x14ac:dyDescent="0.45">
      <c r="A48" s="33"/>
      <c r="B48" s="28"/>
      <c r="C48" s="27"/>
      <c r="D48" s="26"/>
      <c r="E48" s="1" t="s">
        <v>153</v>
      </c>
    </row>
    <row r="49" spans="1:5" x14ac:dyDescent="0.45">
      <c r="A49" s="33"/>
      <c r="B49" s="28"/>
      <c r="C49" s="27"/>
      <c r="D49" s="26"/>
      <c r="E49" s="1" t="s">
        <v>154</v>
      </c>
    </row>
    <row r="50" spans="1:5" x14ac:dyDescent="0.45">
      <c r="A50" s="33"/>
      <c r="B50" s="28"/>
      <c r="C50" s="27"/>
      <c r="D50" s="26"/>
      <c r="E50" s="1" t="s">
        <v>155</v>
      </c>
    </row>
    <row r="51" spans="1:5" x14ac:dyDescent="0.45">
      <c r="A51" s="33"/>
      <c r="B51" s="28"/>
      <c r="C51" s="27"/>
      <c r="D51" s="26"/>
      <c r="E51" s="1" t="s">
        <v>156</v>
      </c>
    </row>
    <row r="52" spans="1:5" x14ac:dyDescent="0.45">
      <c r="A52" s="33"/>
      <c r="B52" s="28"/>
      <c r="C52" s="27"/>
      <c r="D52" s="26"/>
      <c r="E52" s="1" t="s">
        <v>13</v>
      </c>
    </row>
    <row r="53" spans="1:5" x14ac:dyDescent="0.45">
      <c r="A53" s="33"/>
      <c r="B53" s="28"/>
      <c r="C53" s="27"/>
      <c r="D53" s="26"/>
      <c r="E53" s="1" t="s">
        <v>39</v>
      </c>
    </row>
    <row r="54" spans="1:5" x14ac:dyDescent="0.45">
      <c r="A54" s="33"/>
      <c r="B54" s="28"/>
      <c r="C54" s="27"/>
      <c r="D54" s="26"/>
      <c r="E54" s="1" t="s">
        <v>38</v>
      </c>
    </row>
    <row r="55" spans="1:5" x14ac:dyDescent="0.45">
      <c r="A55" s="33"/>
      <c r="B55" s="28"/>
      <c r="C55" s="27"/>
      <c r="D55" s="26"/>
      <c r="E55" s="1" t="s">
        <v>329</v>
      </c>
    </row>
    <row r="56" spans="1:5" x14ac:dyDescent="0.45">
      <c r="A56" s="33"/>
      <c r="B56" s="28"/>
      <c r="C56" s="27"/>
      <c r="D56" s="26"/>
      <c r="E56" s="1" t="s">
        <v>330</v>
      </c>
    </row>
    <row r="57" spans="1:5" x14ac:dyDescent="0.45">
      <c r="A57" s="33"/>
      <c r="B57" s="28"/>
      <c r="C57" s="27"/>
      <c r="D57" s="26"/>
      <c r="E57" s="1" t="s">
        <v>157</v>
      </c>
    </row>
    <row r="58" spans="1:5" x14ac:dyDescent="0.45">
      <c r="A58" s="24" t="s">
        <v>5</v>
      </c>
      <c r="B58" s="24"/>
      <c r="C58" s="24"/>
      <c r="D58" s="24"/>
      <c r="E58" s="4">
        <f>COUNTA(E3:E57)</f>
        <v>55</v>
      </c>
    </row>
    <row r="59" spans="1:5" x14ac:dyDescent="0.45">
      <c r="A59" s="34"/>
      <c r="B59" s="34"/>
      <c r="C59" s="34"/>
      <c r="D59" s="34"/>
      <c r="E59" s="34"/>
    </row>
    <row r="60" spans="1:5" x14ac:dyDescent="0.45">
      <c r="A60" s="26" t="s">
        <v>4</v>
      </c>
      <c r="B60" s="28" t="s">
        <v>158</v>
      </c>
      <c r="C60" s="27" t="s">
        <v>159</v>
      </c>
      <c r="D60" s="26">
        <v>128</v>
      </c>
      <c r="E60" s="1" t="s">
        <v>160</v>
      </c>
    </row>
    <row r="61" spans="1:5" x14ac:dyDescent="0.45">
      <c r="A61" s="26"/>
      <c r="B61" s="28"/>
      <c r="C61" s="27"/>
      <c r="D61" s="26"/>
      <c r="E61" s="1" t="s">
        <v>19</v>
      </c>
    </row>
    <row r="62" spans="1:5" x14ac:dyDescent="0.45">
      <c r="A62" s="26"/>
      <c r="B62" s="28"/>
      <c r="C62" s="27"/>
      <c r="D62" s="26"/>
      <c r="E62" s="1" t="s">
        <v>13</v>
      </c>
    </row>
    <row r="63" spans="1:5" x14ac:dyDescent="0.45">
      <c r="A63" s="26"/>
      <c r="B63" s="28"/>
      <c r="C63" s="27"/>
      <c r="D63" s="26"/>
      <c r="E63" s="1" t="s">
        <v>9</v>
      </c>
    </row>
    <row r="64" spans="1:5" x14ac:dyDescent="0.45">
      <c r="A64" s="26"/>
      <c r="B64" s="28"/>
      <c r="C64" s="27"/>
      <c r="D64" s="26"/>
      <c r="E64" s="1" t="s">
        <v>48</v>
      </c>
    </row>
    <row r="65" spans="1:5" x14ac:dyDescent="0.45">
      <c r="A65" s="26"/>
      <c r="B65" s="28"/>
      <c r="C65" s="27"/>
      <c r="D65" s="26"/>
      <c r="E65" s="1" t="s">
        <v>77</v>
      </c>
    </row>
    <row r="66" spans="1:5" x14ac:dyDescent="0.45">
      <c r="A66" s="26"/>
      <c r="B66" s="28"/>
      <c r="C66" s="27"/>
      <c r="D66" s="26"/>
      <c r="E66" s="1" t="s">
        <v>40</v>
      </c>
    </row>
    <row r="67" spans="1:5" x14ac:dyDescent="0.45">
      <c r="A67" s="26"/>
      <c r="B67" s="28"/>
      <c r="C67" s="27"/>
      <c r="D67" s="26"/>
      <c r="E67" s="1" t="s">
        <v>44</v>
      </c>
    </row>
    <row r="68" spans="1:5" x14ac:dyDescent="0.45">
      <c r="A68" s="26"/>
      <c r="B68" s="28"/>
      <c r="C68" s="27"/>
      <c r="D68" s="26"/>
      <c r="E68" s="1" t="s">
        <v>14</v>
      </c>
    </row>
    <row r="69" spans="1:5" x14ac:dyDescent="0.45">
      <c r="A69" s="26"/>
      <c r="B69" s="28"/>
      <c r="C69" s="27"/>
      <c r="D69" s="26"/>
      <c r="E69" s="1" t="s">
        <v>44</v>
      </c>
    </row>
    <row r="70" spans="1:5" x14ac:dyDescent="0.45">
      <c r="A70" s="26"/>
      <c r="B70" s="28"/>
      <c r="C70" s="27"/>
      <c r="D70" s="26"/>
      <c r="E70" s="1" t="s">
        <v>14</v>
      </c>
    </row>
    <row r="71" spans="1:5" x14ac:dyDescent="0.45">
      <c r="A71" s="26"/>
      <c r="B71" s="28"/>
      <c r="C71" s="27"/>
      <c r="D71" s="26"/>
      <c r="E71" s="1" t="s">
        <v>43</v>
      </c>
    </row>
    <row r="72" spans="1:5" x14ac:dyDescent="0.45">
      <c r="A72" s="26"/>
      <c r="B72" s="28"/>
      <c r="C72" s="27"/>
      <c r="D72" s="26"/>
      <c r="E72" s="1" t="s">
        <v>161</v>
      </c>
    </row>
    <row r="73" spans="1:5" x14ac:dyDescent="0.45">
      <c r="A73" s="26"/>
      <c r="B73" s="28"/>
      <c r="C73" s="27"/>
      <c r="D73" s="26"/>
      <c r="E73" s="1" t="s">
        <v>69</v>
      </c>
    </row>
    <row r="74" spans="1:5" x14ac:dyDescent="0.45">
      <c r="A74" s="26"/>
      <c r="B74" s="28"/>
      <c r="C74" s="27"/>
      <c r="D74" s="26"/>
      <c r="E74" s="1" t="s">
        <v>162</v>
      </c>
    </row>
    <row r="75" spans="1:5" x14ac:dyDescent="0.45">
      <c r="A75" s="26"/>
      <c r="B75" s="28"/>
      <c r="C75" s="27"/>
      <c r="D75" s="26"/>
      <c r="E75" s="1" t="s">
        <v>46</v>
      </c>
    </row>
    <row r="76" spans="1:5" x14ac:dyDescent="0.45">
      <c r="A76" s="26"/>
      <c r="B76" s="28"/>
      <c r="C76" s="27"/>
      <c r="D76" s="26"/>
      <c r="E76" s="1" t="s">
        <v>42</v>
      </c>
    </row>
    <row r="77" spans="1:5" x14ac:dyDescent="0.45">
      <c r="A77" s="26"/>
      <c r="B77" s="28"/>
      <c r="C77" s="27"/>
      <c r="D77" s="26"/>
      <c r="E77" s="1" t="s">
        <v>61</v>
      </c>
    </row>
    <row r="78" spans="1:5" x14ac:dyDescent="0.45">
      <c r="A78" s="26"/>
      <c r="B78" s="28"/>
      <c r="C78" s="27"/>
      <c r="D78" s="26"/>
      <c r="E78" s="1" t="s">
        <v>163</v>
      </c>
    </row>
    <row r="79" spans="1:5" x14ac:dyDescent="0.45">
      <c r="A79" s="26"/>
      <c r="B79" s="28"/>
      <c r="C79" s="27"/>
      <c r="D79" s="26"/>
      <c r="E79" s="1" t="s">
        <v>164</v>
      </c>
    </row>
    <row r="80" spans="1:5" x14ac:dyDescent="0.45">
      <c r="A80" s="26"/>
      <c r="B80" s="28"/>
      <c r="C80" s="27"/>
      <c r="D80" s="26"/>
      <c r="E80" s="1" t="s">
        <v>165</v>
      </c>
    </row>
    <row r="81" spans="1:5" x14ac:dyDescent="0.45">
      <c r="A81" s="26"/>
      <c r="B81" s="28"/>
      <c r="C81" s="27"/>
      <c r="D81" s="26"/>
      <c r="E81" s="1" t="s">
        <v>166</v>
      </c>
    </row>
    <row r="82" spans="1:5" x14ac:dyDescent="0.45">
      <c r="A82" s="26"/>
      <c r="B82" s="28"/>
      <c r="C82" s="27"/>
      <c r="D82" s="26"/>
      <c r="E82" s="1" t="s">
        <v>47</v>
      </c>
    </row>
    <row r="83" spans="1:5" x14ac:dyDescent="0.45">
      <c r="A83" s="26"/>
      <c r="B83" s="28"/>
      <c r="C83" s="27"/>
      <c r="D83" s="26"/>
      <c r="E83" s="1" t="s">
        <v>340</v>
      </c>
    </row>
    <row r="84" spans="1:5" x14ac:dyDescent="0.45">
      <c r="A84" s="26"/>
      <c r="B84" s="28"/>
      <c r="C84" s="27"/>
      <c r="D84" s="26"/>
      <c r="E84" s="1" t="s">
        <v>342</v>
      </c>
    </row>
    <row r="85" spans="1:5" x14ac:dyDescent="0.45">
      <c r="A85" s="26"/>
      <c r="B85" s="28"/>
      <c r="C85" s="27"/>
      <c r="D85" s="26"/>
      <c r="E85" s="1" t="s">
        <v>343</v>
      </c>
    </row>
    <row r="86" spans="1:5" x14ac:dyDescent="0.45">
      <c r="A86" s="26"/>
      <c r="B86" s="28"/>
      <c r="C86" s="27"/>
      <c r="D86" s="26"/>
      <c r="E86" s="1" t="s">
        <v>341</v>
      </c>
    </row>
    <row r="87" spans="1:5" ht="13.9" customHeight="1" x14ac:dyDescent="0.45">
      <c r="A87" s="26"/>
      <c r="B87" s="28"/>
      <c r="C87" s="27"/>
      <c r="D87" s="26"/>
      <c r="E87" s="1" t="s">
        <v>167</v>
      </c>
    </row>
    <row r="88" spans="1:5" x14ac:dyDescent="0.45">
      <c r="A88" s="26"/>
      <c r="B88" s="28"/>
      <c r="C88" s="27"/>
      <c r="D88" s="26"/>
      <c r="E88" s="1" t="s">
        <v>168</v>
      </c>
    </row>
    <row r="89" spans="1:5" x14ac:dyDescent="0.45">
      <c r="A89" s="26"/>
      <c r="B89" s="28"/>
      <c r="C89" s="27"/>
      <c r="D89" s="26"/>
      <c r="E89" s="1" t="s">
        <v>10</v>
      </c>
    </row>
    <row r="90" spans="1:5" x14ac:dyDescent="0.45">
      <c r="A90" s="26"/>
      <c r="B90" s="28"/>
      <c r="C90" s="27"/>
      <c r="D90" s="26"/>
      <c r="E90" s="1" t="s">
        <v>18</v>
      </c>
    </row>
    <row r="91" spans="1:5" x14ac:dyDescent="0.45">
      <c r="A91" s="26"/>
      <c r="B91" s="28"/>
      <c r="C91" s="27"/>
      <c r="D91" s="26"/>
      <c r="E91" s="1" t="s">
        <v>41</v>
      </c>
    </row>
    <row r="92" spans="1:5" x14ac:dyDescent="0.45">
      <c r="A92" s="26"/>
      <c r="B92" s="28"/>
      <c r="C92" s="27"/>
      <c r="D92" s="26"/>
      <c r="E92" s="1" t="s">
        <v>169</v>
      </c>
    </row>
    <row r="93" spans="1:5" x14ac:dyDescent="0.45">
      <c r="A93" s="26"/>
      <c r="B93" s="28"/>
      <c r="C93" s="27"/>
      <c r="D93" s="26"/>
      <c r="E93" s="1" t="s">
        <v>170</v>
      </c>
    </row>
    <row r="94" spans="1:5" x14ac:dyDescent="0.45">
      <c r="A94" s="26"/>
      <c r="B94" s="28"/>
      <c r="C94" s="27"/>
      <c r="D94" s="26"/>
      <c r="E94" s="1" t="s">
        <v>171</v>
      </c>
    </row>
    <row r="95" spans="1:5" x14ac:dyDescent="0.45">
      <c r="A95" s="26"/>
      <c r="B95" s="28"/>
      <c r="C95" s="27"/>
      <c r="D95" s="26"/>
      <c r="E95" s="1" t="s">
        <v>64</v>
      </c>
    </row>
    <row r="96" spans="1:5" x14ac:dyDescent="0.45">
      <c r="A96" s="26"/>
      <c r="B96" s="28"/>
      <c r="C96" s="27"/>
      <c r="D96" s="26"/>
      <c r="E96" s="1" t="s">
        <v>172</v>
      </c>
    </row>
    <row r="97" spans="1:5" x14ac:dyDescent="0.45">
      <c r="A97" s="26"/>
      <c r="B97" s="28"/>
      <c r="C97" s="27"/>
      <c r="D97" s="26"/>
      <c r="E97" s="1" t="s">
        <v>12</v>
      </c>
    </row>
    <row r="98" spans="1:5" x14ac:dyDescent="0.45">
      <c r="A98" s="26"/>
      <c r="B98" s="28"/>
      <c r="C98" s="27"/>
      <c r="D98" s="26"/>
      <c r="E98" s="1" t="s">
        <v>63</v>
      </c>
    </row>
    <row r="99" spans="1:5" x14ac:dyDescent="0.45">
      <c r="A99" s="26"/>
      <c r="B99" s="28"/>
      <c r="C99" s="27"/>
      <c r="D99" s="26"/>
      <c r="E99" s="1" t="s">
        <v>20</v>
      </c>
    </row>
    <row r="100" spans="1:5" x14ac:dyDescent="0.45">
      <c r="A100" s="26"/>
      <c r="B100" s="28"/>
      <c r="C100" s="27"/>
      <c r="D100" s="26"/>
      <c r="E100" s="1" t="s">
        <v>49</v>
      </c>
    </row>
    <row r="101" spans="1:5" x14ac:dyDescent="0.45">
      <c r="A101" s="26"/>
      <c r="B101" s="28"/>
      <c r="C101" s="27"/>
      <c r="D101" s="26"/>
      <c r="E101" s="1" t="s">
        <v>8</v>
      </c>
    </row>
    <row r="102" spans="1:5" x14ac:dyDescent="0.45">
      <c r="A102" s="26"/>
      <c r="B102" s="28"/>
      <c r="C102" s="27"/>
      <c r="D102" s="26"/>
      <c r="E102" s="1" t="s">
        <v>74</v>
      </c>
    </row>
    <row r="103" spans="1:5" x14ac:dyDescent="0.45">
      <c r="A103" s="26"/>
      <c r="B103" s="28"/>
      <c r="C103" s="27"/>
      <c r="D103" s="26"/>
      <c r="E103" s="1" t="s">
        <v>45</v>
      </c>
    </row>
    <row r="104" spans="1:5" x14ac:dyDescent="0.45">
      <c r="A104" s="26"/>
      <c r="B104" s="28"/>
      <c r="C104" s="27"/>
      <c r="D104" s="26"/>
      <c r="E104" s="1" t="s">
        <v>16</v>
      </c>
    </row>
    <row r="105" spans="1:5" x14ac:dyDescent="0.45">
      <c r="A105" s="26"/>
      <c r="B105" s="28"/>
      <c r="C105" s="27"/>
      <c r="D105" s="26"/>
      <c r="E105" s="1" t="s">
        <v>344</v>
      </c>
    </row>
    <row r="106" spans="1:5" x14ac:dyDescent="0.45">
      <c r="A106" s="26"/>
      <c r="B106" s="28"/>
      <c r="C106" s="27"/>
      <c r="D106" s="26"/>
      <c r="E106" s="1" t="s">
        <v>173</v>
      </c>
    </row>
    <row r="107" spans="1:5" x14ac:dyDescent="0.45">
      <c r="A107" s="26"/>
      <c r="B107" s="28"/>
      <c r="C107" s="27"/>
      <c r="D107" s="26"/>
      <c r="E107" s="1" t="s">
        <v>50</v>
      </c>
    </row>
    <row r="108" spans="1:5" x14ac:dyDescent="0.45">
      <c r="A108" s="26"/>
      <c r="B108" s="28"/>
      <c r="C108" s="27"/>
      <c r="D108" s="26"/>
      <c r="E108" s="1" t="s">
        <v>15</v>
      </c>
    </row>
    <row r="109" spans="1:5" x14ac:dyDescent="0.45">
      <c r="A109" s="26"/>
      <c r="B109" s="28"/>
      <c r="C109" s="27"/>
      <c r="D109" s="26"/>
      <c r="E109" s="1" t="s">
        <v>17</v>
      </c>
    </row>
    <row r="110" spans="1:5" x14ac:dyDescent="0.45">
      <c r="A110" s="26"/>
      <c r="B110" s="28"/>
      <c r="C110" s="27"/>
      <c r="D110" s="26"/>
      <c r="E110" s="1" t="s">
        <v>11</v>
      </c>
    </row>
    <row r="111" spans="1:5" x14ac:dyDescent="0.45">
      <c r="A111" s="24" t="s">
        <v>5</v>
      </c>
      <c r="B111" s="24"/>
      <c r="C111" s="24"/>
      <c r="D111" s="24"/>
      <c r="E111" s="4">
        <f>COUNTA(E60:E110)</f>
        <v>51</v>
      </c>
    </row>
    <row r="112" spans="1:5" x14ac:dyDescent="0.45">
      <c r="A112" s="25"/>
      <c r="B112" s="25"/>
      <c r="C112" s="25"/>
      <c r="D112" s="25"/>
      <c r="E112" s="25"/>
    </row>
    <row r="113" spans="1:5" x14ac:dyDescent="0.45">
      <c r="A113" s="26" t="s">
        <v>174</v>
      </c>
      <c r="B113" s="28" t="s">
        <v>129</v>
      </c>
      <c r="C113" s="27" t="s">
        <v>311</v>
      </c>
      <c r="D113" s="26">
        <v>116</v>
      </c>
      <c r="E113" s="3" t="s">
        <v>175</v>
      </c>
    </row>
    <row r="114" spans="1:5" x14ac:dyDescent="0.45">
      <c r="A114" s="26"/>
      <c r="B114" s="28"/>
      <c r="C114" s="27"/>
      <c r="D114" s="26"/>
      <c r="E114" s="3" t="s">
        <v>176</v>
      </c>
    </row>
    <row r="115" spans="1:5" x14ac:dyDescent="0.45">
      <c r="A115" s="26"/>
      <c r="B115" s="28"/>
      <c r="C115" s="27"/>
      <c r="D115" s="26"/>
      <c r="E115" s="3" t="s">
        <v>177</v>
      </c>
    </row>
    <row r="116" spans="1:5" x14ac:dyDescent="0.45">
      <c r="A116" s="26"/>
      <c r="B116" s="28"/>
      <c r="C116" s="27"/>
      <c r="D116" s="26"/>
      <c r="E116" s="3" t="s">
        <v>178</v>
      </c>
    </row>
    <row r="117" spans="1:5" x14ac:dyDescent="0.45">
      <c r="A117" s="26"/>
      <c r="B117" s="28"/>
      <c r="C117" s="27"/>
      <c r="D117" s="26"/>
      <c r="E117" s="3"/>
    </row>
    <row r="118" spans="1:5" x14ac:dyDescent="0.45">
      <c r="A118" s="26"/>
      <c r="B118" s="28"/>
      <c r="C118" s="27"/>
      <c r="D118" s="26"/>
      <c r="E118" s="3" t="s">
        <v>179</v>
      </c>
    </row>
    <row r="119" spans="1:5" x14ac:dyDescent="0.45">
      <c r="A119" s="26"/>
      <c r="B119" s="28"/>
      <c r="C119" s="27"/>
      <c r="D119" s="26"/>
      <c r="E119" s="3" t="s">
        <v>180</v>
      </c>
    </row>
    <row r="120" spans="1:5" x14ac:dyDescent="0.45">
      <c r="A120" s="26"/>
      <c r="B120" s="28"/>
      <c r="C120" s="27"/>
      <c r="D120" s="26"/>
      <c r="E120" s="3" t="s">
        <v>181</v>
      </c>
    </row>
    <row r="121" spans="1:5" x14ac:dyDescent="0.45">
      <c r="A121" s="26"/>
      <c r="B121" s="28"/>
      <c r="C121" s="27"/>
      <c r="D121" s="26"/>
      <c r="E121" s="3" t="s">
        <v>182</v>
      </c>
    </row>
    <row r="122" spans="1:5" x14ac:dyDescent="0.45">
      <c r="A122" s="26"/>
      <c r="B122" s="28"/>
      <c r="C122" s="27"/>
      <c r="D122" s="26"/>
      <c r="E122" s="3" t="s">
        <v>183</v>
      </c>
    </row>
    <row r="123" spans="1:5" x14ac:dyDescent="0.45">
      <c r="A123" s="26"/>
      <c r="B123" s="28"/>
      <c r="C123" s="27"/>
      <c r="D123" s="26"/>
      <c r="E123" s="3" t="s">
        <v>184</v>
      </c>
    </row>
    <row r="124" spans="1:5" x14ac:dyDescent="0.45">
      <c r="A124" s="24" t="s">
        <v>5</v>
      </c>
      <c r="B124" s="24"/>
      <c r="C124" s="24"/>
      <c r="D124" s="24"/>
      <c r="E124" s="4">
        <f>COUNTA(E113:E123)</f>
        <v>10</v>
      </c>
    </row>
    <row r="125" spans="1:5" x14ac:dyDescent="0.45">
      <c r="A125" s="25"/>
      <c r="B125" s="25"/>
      <c r="C125" s="25"/>
      <c r="D125" s="25"/>
      <c r="E125" s="25"/>
    </row>
    <row r="126" spans="1:5" x14ac:dyDescent="0.45">
      <c r="A126" s="26" t="s">
        <v>185</v>
      </c>
      <c r="B126" s="28" t="s">
        <v>219</v>
      </c>
      <c r="C126" s="26" t="s">
        <v>186</v>
      </c>
      <c r="D126" s="29">
        <v>43300</v>
      </c>
      <c r="E126" s="3" t="s">
        <v>187</v>
      </c>
    </row>
    <row r="127" spans="1:5" x14ac:dyDescent="0.45">
      <c r="A127" s="26"/>
      <c r="B127" s="28"/>
      <c r="C127" s="26"/>
      <c r="D127" s="26"/>
      <c r="E127" s="3" t="s">
        <v>188</v>
      </c>
    </row>
    <row r="128" spans="1:5" x14ac:dyDescent="0.45">
      <c r="A128" s="26"/>
      <c r="B128" s="28"/>
      <c r="C128" s="26"/>
      <c r="D128" s="26"/>
      <c r="E128" s="3" t="s">
        <v>189</v>
      </c>
    </row>
    <row r="129" spans="1:5" x14ac:dyDescent="0.45">
      <c r="A129" s="26"/>
      <c r="B129" s="28"/>
      <c r="C129" s="26"/>
      <c r="D129" s="26"/>
      <c r="E129" s="3" t="s">
        <v>190</v>
      </c>
    </row>
    <row r="130" spans="1:5" x14ac:dyDescent="0.45">
      <c r="A130" s="26"/>
      <c r="B130" s="28"/>
      <c r="C130" s="26"/>
      <c r="D130" s="26"/>
      <c r="E130" s="3" t="s">
        <v>191</v>
      </c>
    </row>
    <row r="131" spans="1:5" x14ac:dyDescent="0.45">
      <c r="A131" s="26"/>
      <c r="B131" s="28"/>
      <c r="C131" s="26"/>
      <c r="D131" s="26"/>
      <c r="E131" s="3" t="s">
        <v>192</v>
      </c>
    </row>
    <row r="132" spans="1:5" x14ac:dyDescent="0.45">
      <c r="A132" s="26"/>
      <c r="B132" s="28"/>
      <c r="C132" s="26"/>
      <c r="D132" s="26"/>
      <c r="E132" s="3" t="s">
        <v>193</v>
      </c>
    </row>
    <row r="133" spans="1:5" x14ac:dyDescent="0.45">
      <c r="A133" s="26"/>
      <c r="B133" s="28"/>
      <c r="C133" s="26"/>
      <c r="D133" s="26"/>
      <c r="E133" s="3" t="s">
        <v>194</v>
      </c>
    </row>
    <row r="134" spans="1:5" x14ac:dyDescent="0.45">
      <c r="A134" s="26"/>
      <c r="B134" s="28"/>
      <c r="C134" s="26"/>
      <c r="D134" s="26"/>
      <c r="E134" s="3" t="s">
        <v>195</v>
      </c>
    </row>
    <row r="135" spans="1:5" x14ac:dyDescent="0.45">
      <c r="A135" s="26"/>
      <c r="B135" s="28"/>
      <c r="C135" s="26"/>
      <c r="D135" s="26"/>
      <c r="E135" s="3" t="s">
        <v>196</v>
      </c>
    </row>
    <row r="136" spans="1:5" x14ac:dyDescent="0.45">
      <c r="A136" s="26"/>
      <c r="B136" s="28"/>
      <c r="C136" s="26"/>
      <c r="D136" s="26"/>
      <c r="E136" s="3" t="s">
        <v>197</v>
      </c>
    </row>
    <row r="137" spans="1:5" x14ac:dyDescent="0.45">
      <c r="A137" s="26"/>
      <c r="B137" s="28"/>
      <c r="C137" s="26"/>
      <c r="D137" s="26"/>
      <c r="E137" s="3" t="s">
        <v>198</v>
      </c>
    </row>
    <row r="138" spans="1:5" x14ac:dyDescent="0.45">
      <c r="A138" s="26"/>
      <c r="B138" s="28"/>
      <c r="C138" s="26"/>
      <c r="D138" s="26"/>
      <c r="E138" s="3" t="s">
        <v>199</v>
      </c>
    </row>
    <row r="139" spans="1:5" x14ac:dyDescent="0.45">
      <c r="A139" s="26"/>
      <c r="B139" s="28"/>
      <c r="C139" s="26"/>
      <c r="D139" s="26"/>
      <c r="E139" s="3" t="s">
        <v>200</v>
      </c>
    </row>
    <row r="140" spans="1:5" x14ac:dyDescent="0.45">
      <c r="A140" s="26"/>
      <c r="B140" s="28"/>
      <c r="C140" s="26"/>
      <c r="D140" s="26"/>
      <c r="E140" s="3" t="s">
        <v>201</v>
      </c>
    </row>
    <row r="141" spans="1:5" x14ac:dyDescent="0.45">
      <c r="A141" s="26"/>
      <c r="B141" s="28"/>
      <c r="C141" s="26"/>
      <c r="D141" s="26"/>
      <c r="E141" s="3" t="s">
        <v>202</v>
      </c>
    </row>
    <row r="142" spans="1:5" x14ac:dyDescent="0.45">
      <c r="A142" s="26"/>
      <c r="B142" s="28"/>
      <c r="C142" s="26"/>
      <c r="D142" s="26"/>
      <c r="E142" s="3" t="s">
        <v>203</v>
      </c>
    </row>
    <row r="143" spans="1:5" x14ac:dyDescent="0.45">
      <c r="A143" s="26"/>
      <c r="B143" s="28"/>
      <c r="C143" s="26"/>
      <c r="D143" s="26"/>
      <c r="E143" s="3" t="s">
        <v>204</v>
      </c>
    </row>
    <row r="144" spans="1:5" x14ac:dyDescent="0.45">
      <c r="A144" s="26"/>
      <c r="B144" s="28"/>
      <c r="C144" s="26"/>
      <c r="D144" s="26"/>
      <c r="E144" s="1" t="s">
        <v>205</v>
      </c>
    </row>
    <row r="145" spans="1:5" x14ac:dyDescent="0.45">
      <c r="A145" s="26"/>
      <c r="B145" s="28"/>
      <c r="C145" s="26"/>
      <c r="D145" s="26"/>
      <c r="E145" s="3" t="s">
        <v>206</v>
      </c>
    </row>
    <row r="146" spans="1:5" x14ac:dyDescent="0.45">
      <c r="A146" s="26"/>
      <c r="B146" s="28"/>
      <c r="C146" s="26"/>
      <c r="D146" s="26"/>
      <c r="E146" s="3" t="s">
        <v>207</v>
      </c>
    </row>
    <row r="147" spans="1:5" x14ac:dyDescent="0.45">
      <c r="A147" s="26"/>
      <c r="B147" s="28"/>
      <c r="C147" s="26"/>
      <c r="D147" s="26"/>
      <c r="E147" s="3" t="s">
        <v>208</v>
      </c>
    </row>
    <row r="148" spans="1:5" x14ac:dyDescent="0.45">
      <c r="A148" s="26"/>
      <c r="B148" s="28"/>
      <c r="C148" s="26"/>
      <c r="D148" s="26"/>
      <c r="E148" s="3" t="s">
        <v>209</v>
      </c>
    </row>
    <row r="149" spans="1:5" x14ac:dyDescent="0.45">
      <c r="A149" s="26"/>
      <c r="B149" s="28"/>
      <c r="C149" s="26"/>
      <c r="D149" s="26"/>
      <c r="E149" s="3" t="s">
        <v>210</v>
      </c>
    </row>
    <row r="150" spans="1:5" x14ac:dyDescent="0.45">
      <c r="A150" s="26"/>
      <c r="B150" s="28"/>
      <c r="C150" s="26"/>
      <c r="D150" s="26"/>
      <c r="E150" s="3" t="s">
        <v>55</v>
      </c>
    </row>
    <row r="151" spans="1:5" x14ac:dyDescent="0.45">
      <c r="A151" s="26"/>
      <c r="B151" s="28"/>
      <c r="C151" s="26"/>
      <c r="D151" s="26"/>
      <c r="E151" s="3" t="s">
        <v>211</v>
      </c>
    </row>
    <row r="152" spans="1:5" x14ac:dyDescent="0.45">
      <c r="A152" s="26"/>
      <c r="B152" s="28"/>
      <c r="C152" s="26"/>
      <c r="D152" s="26"/>
      <c r="E152" s="3" t="s">
        <v>212</v>
      </c>
    </row>
    <row r="153" spans="1:5" x14ac:dyDescent="0.45">
      <c r="A153" s="26"/>
      <c r="B153" s="28"/>
      <c r="C153" s="26"/>
      <c r="D153" s="26"/>
      <c r="E153" s="3" t="s">
        <v>213</v>
      </c>
    </row>
    <row r="154" spans="1:5" x14ac:dyDescent="0.45">
      <c r="A154" s="26"/>
      <c r="B154" s="28"/>
      <c r="C154" s="26"/>
      <c r="D154" s="26"/>
      <c r="E154" s="3" t="s">
        <v>214</v>
      </c>
    </row>
    <row r="155" spans="1:5" x14ac:dyDescent="0.45">
      <c r="A155" s="26"/>
      <c r="B155" s="28"/>
      <c r="C155" s="26"/>
      <c r="D155" s="26"/>
      <c r="E155" s="3" t="s">
        <v>215</v>
      </c>
    </row>
    <row r="156" spans="1:5" x14ac:dyDescent="0.45">
      <c r="A156" s="26"/>
      <c r="B156" s="28"/>
      <c r="C156" s="26"/>
      <c r="D156" s="26"/>
      <c r="E156" s="3" t="s">
        <v>177</v>
      </c>
    </row>
    <row r="157" spans="1:5" x14ac:dyDescent="0.45">
      <c r="A157" s="26"/>
      <c r="B157" s="28"/>
      <c r="C157" s="26"/>
      <c r="D157" s="26"/>
      <c r="E157" s="3" t="s">
        <v>216</v>
      </c>
    </row>
    <row r="158" spans="1:5" x14ac:dyDescent="0.45">
      <c r="A158" s="26"/>
      <c r="B158" s="28"/>
      <c r="C158" s="26"/>
      <c r="D158" s="26"/>
      <c r="E158" s="3" t="s">
        <v>217</v>
      </c>
    </row>
    <row r="159" spans="1:5" x14ac:dyDescent="0.45">
      <c r="A159" s="24" t="s">
        <v>5</v>
      </c>
      <c r="B159" s="24"/>
      <c r="C159" s="24"/>
      <c r="D159" s="24"/>
      <c r="E159" s="4">
        <f>COUNTA(E126:E158)</f>
        <v>33</v>
      </c>
    </row>
    <row r="160" spans="1:5" x14ac:dyDescent="0.45">
      <c r="A160" s="25"/>
      <c r="B160" s="25"/>
      <c r="C160" s="25"/>
      <c r="D160" s="25"/>
      <c r="E160" s="25"/>
    </row>
    <row r="161" spans="1:5" x14ac:dyDescent="0.45">
      <c r="A161" s="26" t="s">
        <v>218</v>
      </c>
      <c r="B161" s="28" t="s">
        <v>219</v>
      </c>
      <c r="C161" s="27" t="s">
        <v>345</v>
      </c>
      <c r="D161" s="26">
        <v>48</v>
      </c>
      <c r="E161" s="3" t="s">
        <v>220</v>
      </c>
    </row>
    <row r="162" spans="1:5" x14ac:dyDescent="0.45">
      <c r="A162" s="26"/>
      <c r="B162" s="28"/>
      <c r="C162" s="27"/>
      <c r="D162" s="26"/>
      <c r="E162" s="3" t="s">
        <v>221</v>
      </c>
    </row>
    <row r="163" spans="1:5" x14ac:dyDescent="0.45">
      <c r="A163" s="26"/>
      <c r="B163" s="28"/>
      <c r="C163" s="27"/>
      <c r="D163" s="26"/>
      <c r="E163" s="3" t="s">
        <v>222</v>
      </c>
    </row>
    <row r="164" spans="1:5" x14ac:dyDescent="0.45">
      <c r="A164" s="26"/>
      <c r="B164" s="28"/>
      <c r="C164" s="27"/>
      <c r="D164" s="26"/>
      <c r="E164" s="3" t="s">
        <v>84</v>
      </c>
    </row>
    <row r="165" spans="1:5" x14ac:dyDescent="0.45">
      <c r="A165" s="26"/>
      <c r="B165" s="28"/>
      <c r="C165" s="27"/>
      <c r="D165" s="26"/>
      <c r="E165" s="3" t="s">
        <v>223</v>
      </c>
    </row>
    <row r="166" spans="1:5" x14ac:dyDescent="0.45">
      <c r="A166" s="26"/>
      <c r="B166" s="28"/>
      <c r="C166" s="27"/>
      <c r="D166" s="26"/>
      <c r="E166" s="3" t="s">
        <v>224</v>
      </c>
    </row>
    <row r="167" spans="1:5" x14ac:dyDescent="0.45">
      <c r="A167" s="26"/>
      <c r="B167" s="28"/>
      <c r="C167" s="27"/>
      <c r="D167" s="26"/>
      <c r="E167" s="3" t="s">
        <v>225</v>
      </c>
    </row>
    <row r="168" spans="1:5" x14ac:dyDescent="0.45">
      <c r="A168" s="26"/>
      <c r="B168" s="28"/>
      <c r="C168" s="27"/>
      <c r="D168" s="26"/>
      <c r="E168" s="3" t="s">
        <v>53</v>
      </c>
    </row>
    <row r="169" spans="1:5" x14ac:dyDescent="0.45">
      <c r="A169" s="26"/>
      <c r="B169" s="28"/>
      <c r="C169" s="27"/>
      <c r="D169" s="26"/>
      <c r="E169" s="3" t="s">
        <v>203</v>
      </c>
    </row>
    <row r="170" spans="1:5" x14ac:dyDescent="0.45">
      <c r="A170" s="26"/>
      <c r="B170" s="28"/>
      <c r="C170" s="27"/>
      <c r="D170" s="26"/>
      <c r="E170" s="3" t="s">
        <v>226</v>
      </c>
    </row>
    <row r="171" spans="1:5" x14ac:dyDescent="0.45">
      <c r="A171" s="26"/>
      <c r="B171" s="28"/>
      <c r="C171" s="27"/>
      <c r="D171" s="26"/>
      <c r="E171" s="3" t="s">
        <v>227</v>
      </c>
    </row>
    <row r="172" spans="1:5" x14ac:dyDescent="0.45">
      <c r="A172" s="26"/>
      <c r="B172" s="28"/>
      <c r="C172" s="27"/>
      <c r="D172" s="26"/>
      <c r="E172" s="3" t="s">
        <v>228</v>
      </c>
    </row>
    <row r="173" spans="1:5" x14ac:dyDescent="0.45">
      <c r="A173" s="26"/>
      <c r="B173" s="28"/>
      <c r="C173" s="27"/>
      <c r="D173" s="26"/>
      <c r="E173" s="3" t="s">
        <v>57</v>
      </c>
    </row>
    <row r="174" spans="1:5" x14ac:dyDescent="0.45">
      <c r="A174" s="26"/>
      <c r="B174" s="28"/>
      <c r="C174" s="27"/>
      <c r="D174" s="26"/>
      <c r="E174" s="3" t="s">
        <v>229</v>
      </c>
    </row>
    <row r="175" spans="1:5" x14ac:dyDescent="0.45">
      <c r="A175" s="26"/>
      <c r="B175" s="28"/>
      <c r="C175" s="27"/>
      <c r="D175" s="26"/>
      <c r="E175" s="3" t="s">
        <v>56</v>
      </c>
    </row>
    <row r="176" spans="1:5" x14ac:dyDescent="0.45">
      <c r="A176" s="26"/>
      <c r="B176" s="28"/>
      <c r="C176" s="27"/>
      <c r="D176" s="26"/>
      <c r="E176" s="3" t="s">
        <v>230</v>
      </c>
    </row>
    <row r="177" spans="1:5" x14ac:dyDescent="0.45">
      <c r="A177" s="26"/>
      <c r="B177" s="28"/>
      <c r="C177" s="27"/>
      <c r="D177" s="26"/>
      <c r="E177" s="3" t="s">
        <v>231</v>
      </c>
    </row>
    <row r="178" spans="1:5" x14ac:dyDescent="0.45">
      <c r="A178" s="26"/>
      <c r="B178" s="28"/>
      <c r="C178" s="27"/>
      <c r="D178" s="26"/>
      <c r="E178" s="3" t="s">
        <v>54</v>
      </c>
    </row>
    <row r="179" spans="1:5" x14ac:dyDescent="0.45">
      <c r="A179" s="26"/>
      <c r="B179" s="28"/>
      <c r="C179" s="27"/>
      <c r="D179" s="26"/>
      <c r="E179" s="3" t="s">
        <v>232</v>
      </c>
    </row>
    <row r="180" spans="1:5" x14ac:dyDescent="0.45">
      <c r="A180" s="26"/>
      <c r="B180" s="28"/>
      <c r="C180" s="27"/>
      <c r="D180" s="26"/>
      <c r="E180" s="3" t="s">
        <v>233</v>
      </c>
    </row>
    <row r="181" spans="1:5" x14ac:dyDescent="0.45">
      <c r="A181" s="26"/>
      <c r="B181" s="28"/>
      <c r="C181" s="27"/>
      <c r="D181" s="26"/>
      <c r="E181" s="3" t="s">
        <v>234</v>
      </c>
    </row>
    <row r="182" spans="1:5" x14ac:dyDescent="0.45">
      <c r="A182" s="26"/>
      <c r="B182" s="28"/>
      <c r="C182" s="27"/>
      <c r="D182" s="26"/>
      <c r="E182" s="3" t="s">
        <v>214</v>
      </c>
    </row>
    <row r="183" spans="1:5" x14ac:dyDescent="0.45">
      <c r="A183" s="26"/>
      <c r="B183" s="28"/>
      <c r="C183" s="27"/>
      <c r="D183" s="26"/>
      <c r="E183" s="3" t="s">
        <v>235</v>
      </c>
    </row>
    <row r="184" spans="1:5" x14ac:dyDescent="0.45">
      <c r="A184" s="26"/>
      <c r="B184" s="28"/>
      <c r="C184" s="27"/>
      <c r="D184" s="26"/>
      <c r="E184" s="3" t="s">
        <v>236</v>
      </c>
    </row>
    <row r="185" spans="1:5" x14ac:dyDescent="0.45">
      <c r="A185" s="26"/>
      <c r="B185" s="28"/>
      <c r="C185" s="27"/>
      <c r="D185" s="26"/>
      <c r="E185" s="3" t="s">
        <v>237</v>
      </c>
    </row>
    <row r="186" spans="1:5" x14ac:dyDescent="0.45">
      <c r="A186" s="26"/>
      <c r="B186" s="28"/>
      <c r="C186" s="27"/>
      <c r="D186" s="26"/>
      <c r="E186" s="3" t="s">
        <v>238</v>
      </c>
    </row>
    <row r="187" spans="1:5" x14ac:dyDescent="0.45">
      <c r="A187" s="26"/>
      <c r="B187" s="28"/>
      <c r="C187" s="27"/>
      <c r="D187" s="26"/>
      <c r="E187" s="3" t="s">
        <v>239</v>
      </c>
    </row>
    <row r="188" spans="1:5" x14ac:dyDescent="0.45">
      <c r="A188" s="26"/>
      <c r="B188" s="28"/>
      <c r="C188" s="27"/>
      <c r="D188" s="26"/>
      <c r="E188" s="3" t="s">
        <v>240</v>
      </c>
    </row>
    <row r="189" spans="1:5" x14ac:dyDescent="0.45">
      <c r="A189" s="26"/>
      <c r="B189" s="28"/>
      <c r="C189" s="27"/>
      <c r="D189" s="26"/>
      <c r="E189" s="3" t="s">
        <v>241</v>
      </c>
    </row>
    <row r="190" spans="1:5" x14ac:dyDescent="0.45">
      <c r="A190" s="26"/>
      <c r="B190" s="28"/>
      <c r="C190" s="27"/>
      <c r="D190" s="26"/>
      <c r="E190" s="3" t="s">
        <v>242</v>
      </c>
    </row>
    <row r="191" spans="1:5" x14ac:dyDescent="0.45">
      <c r="A191" s="26"/>
      <c r="B191" s="28"/>
      <c r="C191" s="27"/>
      <c r="D191" s="26"/>
      <c r="E191" s="3" t="s">
        <v>243</v>
      </c>
    </row>
    <row r="192" spans="1:5" x14ac:dyDescent="0.45">
      <c r="A192" s="26"/>
      <c r="B192" s="28"/>
      <c r="C192" s="27"/>
      <c r="D192" s="26"/>
      <c r="E192" s="3" t="s">
        <v>244</v>
      </c>
    </row>
    <row r="193" spans="1:5" x14ac:dyDescent="0.45">
      <c r="A193" s="26"/>
      <c r="B193" s="28"/>
      <c r="C193" s="27"/>
      <c r="D193" s="26"/>
      <c r="E193" s="3" t="s">
        <v>245</v>
      </c>
    </row>
    <row r="194" spans="1:5" x14ac:dyDescent="0.45">
      <c r="A194" s="26"/>
      <c r="B194" s="28"/>
      <c r="C194" s="27"/>
      <c r="D194" s="26"/>
      <c r="E194" s="3" t="s">
        <v>246</v>
      </c>
    </row>
    <row r="195" spans="1:5" x14ac:dyDescent="0.45">
      <c r="A195" s="26"/>
      <c r="B195" s="28"/>
      <c r="C195" s="27"/>
      <c r="D195" s="26"/>
      <c r="E195" s="3" t="s">
        <v>247</v>
      </c>
    </row>
    <row r="196" spans="1:5" x14ac:dyDescent="0.45">
      <c r="A196" s="26"/>
      <c r="B196" s="28"/>
      <c r="C196" s="27"/>
      <c r="D196" s="26"/>
      <c r="E196" s="3" t="s">
        <v>248</v>
      </c>
    </row>
    <row r="197" spans="1:5" x14ac:dyDescent="0.45">
      <c r="A197" s="26"/>
      <c r="B197" s="28"/>
      <c r="C197" s="27"/>
      <c r="D197" s="26"/>
      <c r="E197" s="3" t="s">
        <v>249</v>
      </c>
    </row>
    <row r="198" spans="1:5" x14ac:dyDescent="0.45">
      <c r="A198" s="26"/>
      <c r="B198" s="28"/>
      <c r="C198" s="27"/>
      <c r="D198" s="26"/>
      <c r="E198" s="3" t="s">
        <v>250</v>
      </c>
    </row>
    <row r="199" spans="1:5" x14ac:dyDescent="0.45">
      <c r="A199" s="26"/>
      <c r="B199" s="28"/>
      <c r="C199" s="27"/>
      <c r="D199" s="26"/>
      <c r="E199" s="3" t="s">
        <v>348</v>
      </c>
    </row>
    <row r="200" spans="1:5" x14ac:dyDescent="0.45">
      <c r="A200" s="26"/>
      <c r="B200" s="28"/>
      <c r="C200" s="27"/>
      <c r="D200" s="26"/>
      <c r="E200" s="3" t="s">
        <v>251</v>
      </c>
    </row>
    <row r="201" spans="1:5" x14ac:dyDescent="0.45">
      <c r="A201" s="26"/>
      <c r="B201" s="28"/>
      <c r="C201" s="27"/>
      <c r="D201" s="26"/>
      <c r="E201" s="3" t="s">
        <v>349</v>
      </c>
    </row>
    <row r="202" spans="1:5" x14ac:dyDescent="0.45">
      <c r="A202" s="26"/>
      <c r="B202" s="28"/>
      <c r="C202" s="27"/>
      <c r="D202" s="26"/>
      <c r="E202" s="3" t="s">
        <v>252</v>
      </c>
    </row>
    <row r="203" spans="1:5" x14ac:dyDescent="0.45">
      <c r="A203" s="26"/>
      <c r="B203" s="28"/>
      <c r="C203" s="27"/>
      <c r="D203" s="26"/>
      <c r="E203" s="3" t="s">
        <v>253</v>
      </c>
    </row>
    <row r="204" spans="1:5" x14ac:dyDescent="0.45">
      <c r="A204" s="26"/>
      <c r="B204" s="28"/>
      <c r="C204" s="27"/>
      <c r="D204" s="26"/>
      <c r="E204" s="23" t="s">
        <v>347</v>
      </c>
    </row>
    <row r="205" spans="1:5" x14ac:dyDescent="0.45">
      <c r="A205" s="26"/>
      <c r="B205" s="28"/>
      <c r="C205" s="27"/>
      <c r="D205" s="26"/>
      <c r="E205" s="23" t="s">
        <v>254</v>
      </c>
    </row>
    <row r="206" spans="1:5" x14ac:dyDescent="0.45">
      <c r="A206" s="26"/>
      <c r="B206" s="28"/>
      <c r="C206" s="27"/>
      <c r="D206" s="26"/>
      <c r="E206" s="23" t="s">
        <v>346</v>
      </c>
    </row>
    <row r="207" spans="1:5" x14ac:dyDescent="0.45">
      <c r="A207" s="26"/>
      <c r="B207" s="28"/>
      <c r="C207" s="27"/>
      <c r="D207" s="26"/>
      <c r="E207" s="3" t="s">
        <v>52</v>
      </c>
    </row>
    <row r="208" spans="1:5" x14ac:dyDescent="0.45">
      <c r="A208" s="24" t="s">
        <v>5</v>
      </c>
      <c r="B208" s="24"/>
      <c r="C208" s="24"/>
      <c r="D208" s="24"/>
      <c r="E208" s="4">
        <f>COUNTA(E161:E207)</f>
        <v>47</v>
      </c>
    </row>
    <row r="209" spans="1:5" x14ac:dyDescent="0.45">
      <c r="A209" s="25"/>
      <c r="B209" s="25"/>
      <c r="C209" s="25"/>
      <c r="D209" s="25"/>
      <c r="E209" s="25"/>
    </row>
    <row r="210" spans="1:5" x14ac:dyDescent="0.45">
      <c r="A210" s="30" t="s">
        <v>112</v>
      </c>
      <c r="B210" s="30"/>
      <c r="C210" s="30"/>
      <c r="D210" s="30"/>
      <c r="E210" s="3" t="s">
        <v>114</v>
      </c>
    </row>
    <row r="211" spans="1:5" x14ac:dyDescent="0.45">
      <c r="A211" s="30"/>
      <c r="B211" s="30"/>
      <c r="C211" s="30"/>
      <c r="D211" s="30"/>
      <c r="E211" s="3" t="s">
        <v>113</v>
      </c>
    </row>
    <row r="212" spans="1:5" x14ac:dyDescent="0.45">
      <c r="A212" s="30"/>
      <c r="B212" s="30"/>
      <c r="C212" s="30"/>
      <c r="D212" s="30"/>
      <c r="E212" s="3" t="s">
        <v>115</v>
      </c>
    </row>
    <row r="213" spans="1:5" x14ac:dyDescent="0.45">
      <c r="A213" s="30"/>
      <c r="B213" s="30"/>
      <c r="C213" s="30"/>
      <c r="D213" s="30"/>
      <c r="E213" s="3" t="s">
        <v>116</v>
      </c>
    </row>
    <row r="214" spans="1:5" x14ac:dyDescent="0.45">
      <c r="A214" s="30"/>
      <c r="B214" s="30"/>
      <c r="C214" s="30"/>
      <c r="D214" s="30"/>
      <c r="E214" s="3" t="s">
        <v>117</v>
      </c>
    </row>
    <row r="215" spans="1:5" x14ac:dyDescent="0.45">
      <c r="A215" s="30"/>
      <c r="B215" s="30"/>
      <c r="C215" s="30"/>
      <c r="D215" s="30"/>
      <c r="E215" s="3" t="s">
        <v>118</v>
      </c>
    </row>
    <row r="216" spans="1:5" x14ac:dyDescent="0.45">
      <c r="A216" s="30"/>
      <c r="B216" s="30"/>
      <c r="C216" s="30"/>
      <c r="D216" s="30"/>
      <c r="E216" s="3" t="s">
        <v>107</v>
      </c>
    </row>
    <row r="217" spans="1:5" x14ac:dyDescent="0.45">
      <c r="A217" s="30"/>
      <c r="B217" s="30"/>
      <c r="C217" s="30"/>
      <c r="D217" s="30"/>
      <c r="E217" s="3" t="s">
        <v>119</v>
      </c>
    </row>
    <row r="218" spans="1:5" x14ac:dyDescent="0.45">
      <c r="A218" s="30"/>
      <c r="B218" s="30"/>
      <c r="C218" s="30"/>
      <c r="D218" s="30"/>
      <c r="E218" s="3" t="s">
        <v>120</v>
      </c>
    </row>
    <row r="219" spans="1:5" x14ac:dyDescent="0.45">
      <c r="A219" s="30" t="s">
        <v>108</v>
      </c>
      <c r="B219" s="30"/>
      <c r="C219" s="30"/>
      <c r="D219" s="30"/>
      <c r="E219" s="1" t="s">
        <v>107</v>
      </c>
    </row>
    <row r="220" spans="1:5" x14ac:dyDescent="0.45">
      <c r="A220" s="30" t="s">
        <v>110</v>
      </c>
      <c r="B220" s="30"/>
      <c r="C220" s="30"/>
      <c r="D220" s="30"/>
      <c r="E220" s="3" t="s">
        <v>109</v>
      </c>
    </row>
    <row r="221" spans="1:5" x14ac:dyDescent="0.45">
      <c r="A221" s="30"/>
      <c r="B221" s="30"/>
      <c r="C221" s="30"/>
      <c r="D221" s="30"/>
      <c r="E221" s="1" t="s">
        <v>111</v>
      </c>
    </row>
    <row r="222" spans="1:5" x14ac:dyDescent="0.45">
      <c r="A222" s="30" t="s">
        <v>122</v>
      </c>
      <c r="B222" s="30"/>
      <c r="C222" s="30"/>
      <c r="D222" s="30"/>
      <c r="E222" s="3" t="s">
        <v>121</v>
      </c>
    </row>
    <row r="223" spans="1:5" x14ac:dyDescent="0.45">
      <c r="A223" s="30"/>
      <c r="B223" s="30"/>
      <c r="C223" s="30"/>
      <c r="D223" s="30"/>
      <c r="E223" s="3" t="s">
        <v>123</v>
      </c>
    </row>
    <row r="224" spans="1:5" x14ac:dyDescent="0.45">
      <c r="A224" s="30"/>
      <c r="B224" s="30"/>
      <c r="C224" s="30"/>
      <c r="D224" s="30"/>
      <c r="E224" s="3" t="s">
        <v>124</v>
      </c>
    </row>
    <row r="225" spans="1:5" x14ac:dyDescent="0.45">
      <c r="A225" s="30"/>
      <c r="B225" s="30"/>
      <c r="C225" s="30"/>
      <c r="D225" s="30"/>
      <c r="E225" s="3" t="s">
        <v>125</v>
      </c>
    </row>
    <row r="226" spans="1:5" x14ac:dyDescent="0.45">
      <c r="A226" s="30"/>
      <c r="B226" s="30"/>
      <c r="C226" s="30"/>
      <c r="D226" s="30"/>
      <c r="E226" s="3" t="s">
        <v>126</v>
      </c>
    </row>
    <row r="227" spans="1:5" x14ac:dyDescent="0.45">
      <c r="A227" s="35" t="s">
        <v>128</v>
      </c>
      <c r="B227" s="35"/>
      <c r="C227" s="35"/>
      <c r="D227" s="35"/>
      <c r="E227" s="1" t="s">
        <v>127</v>
      </c>
    </row>
    <row r="228" spans="1:5" x14ac:dyDescent="0.45">
      <c r="A228" s="24" t="s">
        <v>5</v>
      </c>
      <c r="B228" s="24"/>
      <c r="C228" s="24"/>
      <c r="D228" s="24"/>
      <c r="E228" s="4">
        <f>COUNTA(E210:E227)</f>
        <v>18</v>
      </c>
    </row>
    <row r="229" spans="1:5" x14ac:dyDescent="0.45">
      <c r="A229" s="34"/>
      <c r="B229" s="34"/>
      <c r="C229" s="34"/>
      <c r="D229" s="34"/>
      <c r="E229" s="34"/>
    </row>
    <row r="230" spans="1:5" x14ac:dyDescent="0.45">
      <c r="A230" s="24" t="s">
        <v>305</v>
      </c>
      <c r="B230" s="24"/>
      <c r="C230" s="24"/>
      <c r="D230" s="24"/>
      <c r="E230" s="4">
        <f>SUM(E228,E208,E159,E124,E111,E58)</f>
        <v>214</v>
      </c>
    </row>
    <row r="231" spans="1:5" x14ac:dyDescent="0.45">
      <c r="A231" s="34"/>
      <c r="B231" s="34"/>
      <c r="C231" s="34"/>
      <c r="D231" s="34"/>
      <c r="E231" s="34"/>
    </row>
    <row r="232" spans="1:5" x14ac:dyDescent="0.45">
      <c r="A232" s="24" t="s">
        <v>58</v>
      </c>
      <c r="B232" s="24"/>
      <c r="C232" s="24"/>
      <c r="D232" s="24"/>
      <c r="E232" s="4">
        <v>160</v>
      </c>
    </row>
  </sheetData>
  <mergeCells count="41">
    <mergeCell ref="A222:D226"/>
    <mergeCell ref="A227:D227"/>
    <mergeCell ref="A228:D228"/>
    <mergeCell ref="A230:D230"/>
    <mergeCell ref="A232:D232"/>
    <mergeCell ref="A229:E229"/>
    <mergeCell ref="A231:E231"/>
    <mergeCell ref="A209:E209"/>
    <mergeCell ref="A210:D218"/>
    <mergeCell ref="A220:D221"/>
    <mergeCell ref="A219:D219"/>
    <mergeCell ref="A1:E1"/>
    <mergeCell ref="D3:D57"/>
    <mergeCell ref="C3:C57"/>
    <mergeCell ref="B3:B57"/>
    <mergeCell ref="A111:D111"/>
    <mergeCell ref="A58:D58"/>
    <mergeCell ref="A3:A57"/>
    <mergeCell ref="C60:C110"/>
    <mergeCell ref="D60:D110"/>
    <mergeCell ref="B60:B110"/>
    <mergeCell ref="A60:A110"/>
    <mergeCell ref="A59:E59"/>
    <mergeCell ref="A112:E112"/>
    <mergeCell ref="D113:D123"/>
    <mergeCell ref="C113:C123"/>
    <mergeCell ref="B113:B123"/>
    <mergeCell ref="A113:A123"/>
    <mergeCell ref="A124:D124"/>
    <mergeCell ref="A125:E125"/>
    <mergeCell ref="D126:D158"/>
    <mergeCell ref="C126:C158"/>
    <mergeCell ref="B126:B158"/>
    <mergeCell ref="A126:A158"/>
    <mergeCell ref="A208:D208"/>
    <mergeCell ref="A159:D159"/>
    <mergeCell ref="A160:E160"/>
    <mergeCell ref="D161:D207"/>
    <mergeCell ref="C161:C207"/>
    <mergeCell ref="B161:B207"/>
    <mergeCell ref="A161:A207"/>
  </mergeCells>
  <phoneticPr fontId="3" type="noConversion"/>
  <hyperlinks>
    <hyperlink ref="E3" r:id="rId1" xr:uid="{789EA25B-8AA5-4A11-87CE-2BA74425F881}"/>
    <hyperlink ref="E113" r:id="rId2" xr:uid="{5556DE3C-9A92-44C5-BAC3-A72AB9FF0318}"/>
    <hyperlink ref="E114" r:id="rId3" xr:uid="{83E7254D-43B8-43F8-BF3B-764C25117E2E}"/>
    <hyperlink ref="E115" r:id="rId4" xr:uid="{62CB9E7E-6D72-48F0-AF59-5EE77696E1C1}"/>
    <hyperlink ref="E116" r:id="rId5" xr:uid="{91320243-110D-4566-BBC0-5984DD8950D6}"/>
    <hyperlink ref="E119" r:id="rId6" xr:uid="{5AB0509C-DA31-45ED-8839-FFE95EA4A5C0}"/>
    <hyperlink ref="E120" r:id="rId7" xr:uid="{CE86E7DC-792A-498B-9A22-C7AD6F261E58}"/>
    <hyperlink ref="E121" r:id="rId8" xr:uid="{1B1F4E01-FE1F-44CE-B311-2F6FFE8410AF}"/>
    <hyperlink ref="E122" r:id="rId9" xr:uid="{64FC11C8-BF83-4C03-9C2B-19086CB73512}"/>
    <hyperlink ref="E123" r:id="rId10" xr:uid="{9712A437-379C-422E-9BD2-DD8504DDA4FE}"/>
    <hyperlink ref="E118" r:id="rId11" xr:uid="{08FB0A70-2AA7-491D-BB83-E23C43EF65D7}"/>
    <hyperlink ref="E126" r:id="rId12" xr:uid="{60735583-A5FB-40CB-B431-195E95DD52CD}"/>
    <hyperlink ref="E127" r:id="rId13" xr:uid="{9AD8E262-790B-440E-9AF3-AC9C17F72A49}"/>
    <hyperlink ref="E128" r:id="rId14" xr:uid="{5B29B0F5-63CB-45FC-A0A5-97E4BB4914DC}"/>
    <hyperlink ref="E129" r:id="rId15" xr:uid="{75B07507-4745-4329-BFCA-40B0F1B212FC}"/>
    <hyperlink ref="E130" r:id="rId16" xr:uid="{5BA7B6CF-FC61-4A4F-BA4B-D47738865677}"/>
    <hyperlink ref="E131" r:id="rId17" xr:uid="{E1196E4A-4323-4391-83F9-5011A2DA22CA}"/>
    <hyperlink ref="E132" r:id="rId18" xr:uid="{C7CB6DE6-49D7-4708-8330-95A87013CC68}"/>
    <hyperlink ref="E133" r:id="rId19" xr:uid="{621917B2-D4D2-453E-A062-71D1298C5868}"/>
    <hyperlink ref="E134" r:id="rId20" xr:uid="{121710E0-1C0D-491A-87F0-D6DC2B403F7D}"/>
    <hyperlink ref="E135" r:id="rId21" xr:uid="{E6996AB2-59E2-4C9C-AAE4-4098A3B6F5FA}"/>
    <hyperlink ref="E136" r:id="rId22" xr:uid="{8733C9B5-92D0-4841-8A0C-F5A30AF64027}"/>
    <hyperlink ref="E137" r:id="rId23" xr:uid="{9A68610F-FFBD-43B4-B164-508A581D92E3}"/>
    <hyperlink ref="E138" r:id="rId24" xr:uid="{8B48E7D4-624B-4B7D-9C3A-ED594B9FABB6}"/>
    <hyperlink ref="E139" r:id="rId25" xr:uid="{6A3347A1-EE73-406A-87E5-F3E939F3A5BD}"/>
    <hyperlink ref="E140" r:id="rId26" xr:uid="{A8122EC5-953A-4938-945D-7D50CF939584}"/>
    <hyperlink ref="E141" r:id="rId27" xr:uid="{F0E6EB87-F608-4ABD-8785-DEFA62581FC2}"/>
    <hyperlink ref="E142" r:id="rId28" xr:uid="{B39008D4-A60F-4D74-A8B6-351D0AF8DBBE}"/>
    <hyperlink ref="E143" r:id="rId29" xr:uid="{229530D1-F40E-411B-A19B-E9B742F6F4FD}"/>
    <hyperlink ref="E145" r:id="rId30" xr:uid="{A527A514-E409-4ECA-AFB2-1B554A77F0F0}"/>
    <hyperlink ref="E146" r:id="rId31" xr:uid="{E3229F7F-8838-4531-83AA-65B571364224}"/>
    <hyperlink ref="E147" r:id="rId32" xr:uid="{38606208-2687-40B2-AAA6-3A50E4950B7B}"/>
    <hyperlink ref="E148" r:id="rId33" xr:uid="{3E8981FD-EC4C-4079-9F80-8C81B154CBB7}"/>
    <hyperlink ref="E149" r:id="rId34" xr:uid="{85E9482E-EAFB-4F93-801A-106389B7C44B}"/>
    <hyperlink ref="E150" r:id="rId35" xr:uid="{9E611243-14F3-4038-8517-D7449130D111}"/>
    <hyperlink ref="E151" r:id="rId36" xr:uid="{39E69502-CAAA-4B33-8A44-E2E0C461C319}"/>
    <hyperlink ref="E152" r:id="rId37" xr:uid="{B18EC7A0-3F41-498E-8509-D1E7451A35CD}"/>
    <hyperlink ref="E153" r:id="rId38" xr:uid="{FFB5D91E-CD57-4509-AB71-8C822DC9FF53}"/>
    <hyperlink ref="E154" r:id="rId39" xr:uid="{8085FF1D-0CCB-4E69-9D88-FDC7DBAF4A6E}"/>
    <hyperlink ref="E155" r:id="rId40" xr:uid="{6970BED6-65F6-4304-8ABE-4CFABE783FD1}"/>
    <hyperlink ref="E156" r:id="rId41" xr:uid="{302CE51B-6E1D-4033-A421-11AD72DDD467}"/>
    <hyperlink ref="E157" r:id="rId42" xr:uid="{2847813A-A5FA-45FA-900F-EE0801301C82}"/>
    <hyperlink ref="E158" r:id="rId43" xr:uid="{E55F50E2-4278-4C5D-AE43-3FF255FEE961}"/>
    <hyperlink ref="E161" r:id="rId44" xr:uid="{43E54100-6CA4-4180-82DE-FDACD8FD4A07}"/>
    <hyperlink ref="E162" r:id="rId45" xr:uid="{A0EF906B-8154-4C69-ABEC-D5C33D6013D3}"/>
    <hyperlink ref="E163" r:id="rId46" xr:uid="{9F370DB9-E1BA-4964-838B-CD19108FF5A4}"/>
    <hyperlink ref="E164" r:id="rId47" xr:uid="{96553BD8-BF5C-45FE-8D42-5CFC28CB4CF9}"/>
    <hyperlink ref="E165" r:id="rId48" xr:uid="{AE74DAA8-30E4-4B38-AE9E-76ABBA006123}"/>
    <hyperlink ref="E166" r:id="rId49" xr:uid="{D5848350-7137-4074-B0A5-D644878D63C0}"/>
    <hyperlink ref="E167" r:id="rId50" xr:uid="{BBC8AA6A-369C-47C0-989B-CE197519B245}"/>
    <hyperlink ref="E168" r:id="rId51" xr:uid="{1D63B3ED-525D-4D70-AD90-7B34C1688AD7}"/>
    <hyperlink ref="E169" r:id="rId52" xr:uid="{5EE7DDC6-5146-48C7-AAB5-601917A9FB01}"/>
    <hyperlink ref="E170" r:id="rId53" xr:uid="{89C38FC3-0D87-49AE-A113-1A3918A8AC67}"/>
    <hyperlink ref="E171" r:id="rId54" xr:uid="{D3EFA357-BCE8-491F-9C5A-7AD131EC14B6}"/>
    <hyperlink ref="E172" r:id="rId55" xr:uid="{CD6D0EB2-EAF5-46D3-915E-5FC4F71CCC9A}"/>
    <hyperlink ref="E173" r:id="rId56" xr:uid="{2D18E2F4-15F7-4028-86BB-23917677F3C2}"/>
    <hyperlink ref="E174" r:id="rId57" xr:uid="{BAFDD829-FDCE-4800-A466-EF99824D25C7}"/>
    <hyperlink ref="E175" r:id="rId58" xr:uid="{3A696F4A-9FE8-4573-BFAC-1AC0E61B69A9}"/>
    <hyperlink ref="E176" r:id="rId59" xr:uid="{613EB47D-84EB-4606-8236-29CFC0A2C556}"/>
    <hyperlink ref="E177" r:id="rId60" xr:uid="{5A535CF5-3C4E-48DE-90BE-491FBAD189A2}"/>
    <hyperlink ref="E178" r:id="rId61" xr:uid="{7C8A11B8-C658-43ED-BDB9-9CB7C2F5692B}"/>
    <hyperlink ref="E179" r:id="rId62" xr:uid="{4D034635-D4F7-4AE3-993F-4059041A9760}"/>
    <hyperlink ref="E180" r:id="rId63" xr:uid="{316C84E3-738C-44FB-9B73-89A87F8F26FC}"/>
    <hyperlink ref="E181" r:id="rId64" xr:uid="{85D9709A-6DED-4CD1-B324-2FAF4891C3C6}"/>
    <hyperlink ref="E182" r:id="rId65" xr:uid="{18843E1E-4365-4F7D-A090-37EE26E0B719}"/>
    <hyperlink ref="E183" r:id="rId66" xr:uid="{3CCF5598-B9BD-4429-A942-D1F514DF68BA}"/>
    <hyperlink ref="E184" r:id="rId67" xr:uid="{D060E4B5-EEAC-4A1D-B122-89BC98CB4A5C}"/>
    <hyperlink ref="E185" r:id="rId68" xr:uid="{5AC4A56B-9EAE-408C-B571-5AD5A0710FAD}"/>
    <hyperlink ref="E186" r:id="rId69" xr:uid="{ACAB5559-A318-4A06-B4FF-3DB81151C955}"/>
    <hyperlink ref="E187" r:id="rId70" xr:uid="{02B7F775-1D3F-45EC-8674-66939C0592EE}"/>
    <hyperlink ref="E188" r:id="rId71" xr:uid="{A8C78E55-F72A-4251-932E-9955250ED75F}"/>
    <hyperlink ref="E189" r:id="rId72" xr:uid="{A2FBE15B-E30E-40FC-9530-42D3C10A69D9}"/>
    <hyperlink ref="E190" r:id="rId73" xr:uid="{08766D4D-9E13-41E1-9316-896D8D67AAF8}"/>
    <hyperlink ref="E191" r:id="rId74" xr:uid="{6CDC7BD3-6E91-41D4-82C3-BD99BA892F44}"/>
    <hyperlink ref="E192" r:id="rId75" xr:uid="{C0D3732D-71E0-4B66-9363-B387517D710E}"/>
    <hyperlink ref="E193" r:id="rId76" xr:uid="{A62EA4C6-B078-42A0-967E-DBF24D69752F}"/>
    <hyperlink ref="E194" r:id="rId77" xr:uid="{092131D0-3196-40BB-8A0A-814B7265FD08}"/>
    <hyperlink ref="E195" r:id="rId78" xr:uid="{5617892A-836E-4F8A-9167-4A71B16DEE83}"/>
    <hyperlink ref="E196" r:id="rId79" xr:uid="{DEB29580-172D-4AFD-AC81-3D678551BE50}"/>
    <hyperlink ref="E197" r:id="rId80" xr:uid="{A166B4CA-10B5-414A-9D8E-36D94E20351A}"/>
    <hyperlink ref="E198" r:id="rId81" xr:uid="{B5517CBB-85D0-4965-93D6-457C6E0B9A12}"/>
    <hyperlink ref="E200" r:id="rId82" xr:uid="{DF62A474-6A72-4631-AED5-3F87B35678B9}"/>
    <hyperlink ref="E202" r:id="rId83" xr:uid="{412E0454-DEB9-4035-A7B6-2E85B7C4F36C}"/>
    <hyperlink ref="E203" r:id="rId84" xr:uid="{4E000F1D-FD1D-46DA-A127-2E56F35E5CCA}"/>
    <hyperlink ref="E205" r:id="rId85" xr:uid="{8B1BC81C-5AA8-4AEA-A70F-D13737EBD032}"/>
    <hyperlink ref="E207" r:id="rId86" xr:uid="{5EA4574D-C2AC-4E20-AA29-FD9D394AC9EF}"/>
    <hyperlink ref="E210" r:id="rId87" xr:uid="{033C58B7-D991-418F-ABB8-CF6E30E7644B}"/>
    <hyperlink ref="E211" r:id="rId88" xr:uid="{85046A43-C562-42E1-B939-7B1FEEEAAFBF}"/>
    <hyperlink ref="E212" r:id="rId89" xr:uid="{57AF3623-8CD0-4233-984A-74CD21201024}"/>
    <hyperlink ref="E213" r:id="rId90" xr:uid="{F32ED794-E15A-4C34-AAB9-C1E66B88FD73}"/>
    <hyperlink ref="E214" r:id="rId91" xr:uid="{FDDDFDC6-4D28-426D-BD5F-98C8990EF679}"/>
    <hyperlink ref="E215" r:id="rId92" xr:uid="{134562C9-6C65-4863-AD5F-B7EBCD5B7538}"/>
    <hyperlink ref="E216" r:id="rId93" xr:uid="{FDBDCF65-3CB1-494C-AC23-E077E0DE65BA}"/>
    <hyperlink ref="E217" r:id="rId94" xr:uid="{3856D987-F78F-47E3-85AE-0CD1E5BA6382}"/>
    <hyperlink ref="E218" r:id="rId95" xr:uid="{FD9897CC-CD24-4383-9BEC-BE76AFC1EBA3}"/>
    <hyperlink ref="E220" r:id="rId96" xr:uid="{80CC4BAB-1170-453D-92A8-388254D0B2F4}"/>
    <hyperlink ref="E222" r:id="rId97" xr:uid="{68BB279B-3769-4174-BC74-5DF382156698}"/>
    <hyperlink ref="E223" r:id="rId98" xr:uid="{A01C2553-9205-4C4D-92B4-95EF080A1627}"/>
    <hyperlink ref="E224" r:id="rId99" xr:uid="{DD6EDA39-4E9A-4F50-9F82-E93124791782}"/>
    <hyperlink ref="E225" r:id="rId100" xr:uid="{537281BE-9BD2-4FB8-9F98-C89FC5A0EDB7}"/>
    <hyperlink ref="E226" r:id="rId101" xr:uid="{5326B09B-8888-4837-9306-1120183BB11E}"/>
    <hyperlink ref="E206" r:id="rId102" xr:uid="{94AE91C2-E799-4FB6-9833-789D71C307A3}"/>
    <hyperlink ref="E204" r:id="rId103" xr:uid="{927C7D47-7957-4298-95E8-1517517F888E}"/>
    <hyperlink ref="E199" r:id="rId104" xr:uid="{85F0CD77-A5E5-479B-ACA5-139586C3142D}"/>
    <hyperlink ref="E201" r:id="rId105" xr:uid="{1FB6134E-ED9A-476F-8BAA-7E778B684826}"/>
  </hyperlinks>
  <pageMargins left="0.7" right="0.7" top="0.75" bottom="0.75" header="0.3" footer="0.3"/>
  <pageSetup paperSize="9" orientation="portrait" horizontalDpi="300" verticalDpi="0" r:id="rId10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0D3A9-99AA-4834-ABD3-2935A46DBFCE}">
  <sheetPr filterMode="1"/>
  <dimension ref="A1:J159"/>
  <sheetViews>
    <sheetView topLeftCell="B1" zoomScale="85" zoomScaleNormal="85" workbookViewId="0">
      <pane ySplit="2" topLeftCell="A3" activePane="bottomLeft" state="frozen"/>
      <selection pane="bottomLeft" activeCell="C96" sqref="C96"/>
    </sheetView>
  </sheetViews>
  <sheetFormatPr defaultRowHeight="14.25" x14ac:dyDescent="0.45"/>
  <cols>
    <col min="1" max="1" width="91.86328125" bestFit="1" customWidth="1"/>
    <col min="2" max="2" width="35.86328125" bestFit="1" customWidth="1"/>
    <col min="3" max="3" width="22.73046875" bestFit="1" customWidth="1"/>
    <col min="4" max="4" width="23.265625" bestFit="1" customWidth="1"/>
    <col min="5" max="5" width="12.3984375" bestFit="1" customWidth="1"/>
    <col min="6" max="6" width="14.59765625" bestFit="1" customWidth="1"/>
    <col min="7" max="7" width="15.3984375" bestFit="1" customWidth="1"/>
    <col min="8" max="9" width="16.1328125" bestFit="1" customWidth="1"/>
    <col min="10" max="10" width="58.73046875" bestFit="1" customWidth="1"/>
  </cols>
  <sheetData>
    <row r="1" spans="1:10" ht="30" customHeight="1" x14ac:dyDescent="0.45">
      <c r="A1" s="36" t="s">
        <v>761</v>
      </c>
      <c r="B1" s="36"/>
      <c r="C1" s="36"/>
      <c r="D1" s="36"/>
      <c r="E1" s="36"/>
      <c r="F1" s="36"/>
      <c r="G1" s="36"/>
      <c r="H1" s="36"/>
      <c r="I1" s="36"/>
      <c r="J1" s="36"/>
    </row>
    <row r="2" spans="1:10" x14ac:dyDescent="0.45">
      <c r="A2" s="4" t="s">
        <v>89</v>
      </c>
      <c r="B2" s="2" t="s">
        <v>51</v>
      </c>
      <c r="C2" s="2" t="s">
        <v>1</v>
      </c>
      <c r="D2" s="2" t="s">
        <v>306</v>
      </c>
      <c r="E2" s="2" t="s">
        <v>0</v>
      </c>
      <c r="F2" s="2" t="s">
        <v>30</v>
      </c>
      <c r="G2" s="2" t="s">
        <v>309</v>
      </c>
      <c r="H2" s="2" t="s">
        <v>420</v>
      </c>
      <c r="I2" s="2" t="s">
        <v>421</v>
      </c>
      <c r="J2" s="2" t="s">
        <v>432</v>
      </c>
    </row>
    <row r="3" spans="1:10" ht="28.5" x14ac:dyDescent="0.45">
      <c r="A3" s="15" t="s">
        <v>384</v>
      </c>
      <c r="B3" s="5" t="s">
        <v>351</v>
      </c>
      <c r="C3" s="5" t="s">
        <v>307</v>
      </c>
      <c r="D3" s="5"/>
      <c r="E3" s="5" t="s">
        <v>307</v>
      </c>
      <c r="F3" s="5" t="s">
        <v>307</v>
      </c>
      <c r="G3" s="5"/>
      <c r="H3" s="5"/>
      <c r="I3" s="5" t="s">
        <v>307</v>
      </c>
      <c r="J3" s="5" t="s">
        <v>433</v>
      </c>
    </row>
    <row r="4" spans="1:10" hidden="1" x14ac:dyDescent="0.45">
      <c r="A4" s="16" t="s">
        <v>102</v>
      </c>
      <c r="B4" s="16" t="s">
        <v>19</v>
      </c>
      <c r="C4" s="16" t="s">
        <v>307</v>
      </c>
      <c r="D4" s="16" t="s">
        <v>307</v>
      </c>
      <c r="E4" s="16" t="s">
        <v>307</v>
      </c>
      <c r="F4" s="16" t="s">
        <v>307</v>
      </c>
      <c r="G4" s="16"/>
      <c r="H4" s="16"/>
      <c r="I4" s="16"/>
      <c r="J4" s="16"/>
    </row>
    <row r="5" spans="1:10" hidden="1" x14ac:dyDescent="0.45">
      <c r="A5" s="5" t="s">
        <v>435</v>
      </c>
      <c r="B5" s="5" t="s">
        <v>338</v>
      </c>
      <c r="C5" s="5" t="s">
        <v>307</v>
      </c>
      <c r="D5" s="5" t="s">
        <v>307</v>
      </c>
      <c r="E5" s="5"/>
      <c r="F5" s="5" t="s">
        <v>307</v>
      </c>
      <c r="G5" s="5"/>
      <c r="H5" s="5" t="s">
        <v>307</v>
      </c>
      <c r="I5" s="5"/>
      <c r="J5" s="5" t="s">
        <v>434</v>
      </c>
    </row>
    <row r="6" spans="1:10" x14ac:dyDescent="0.45">
      <c r="A6" s="5" t="s">
        <v>318</v>
      </c>
      <c r="B6" s="5" t="s">
        <v>162</v>
      </c>
      <c r="C6" s="5" t="s">
        <v>307</v>
      </c>
      <c r="D6" s="5" t="s">
        <v>307</v>
      </c>
      <c r="E6" s="5"/>
      <c r="F6" s="5" t="s">
        <v>307</v>
      </c>
      <c r="G6" s="5"/>
      <c r="H6" s="5"/>
      <c r="I6" s="5" t="s">
        <v>307</v>
      </c>
      <c r="J6" s="5" t="s">
        <v>436</v>
      </c>
    </row>
    <row r="7" spans="1:10" x14ac:dyDescent="0.45">
      <c r="A7" s="7" t="s">
        <v>97</v>
      </c>
      <c r="B7" s="7" t="s">
        <v>15</v>
      </c>
      <c r="C7" s="7" t="s">
        <v>307</v>
      </c>
      <c r="D7" s="7" t="s">
        <v>307</v>
      </c>
      <c r="E7" s="7" t="s">
        <v>307</v>
      </c>
      <c r="F7" s="7" t="s">
        <v>307</v>
      </c>
      <c r="G7" s="7" t="s">
        <v>307</v>
      </c>
      <c r="H7" s="7"/>
      <c r="I7" s="7" t="s">
        <v>307</v>
      </c>
      <c r="J7" s="7" t="s">
        <v>453</v>
      </c>
    </row>
    <row r="8" spans="1:10" x14ac:dyDescent="0.45">
      <c r="A8" s="5" t="s">
        <v>327</v>
      </c>
      <c r="B8" s="5" t="s">
        <v>59</v>
      </c>
      <c r="C8" s="5" t="s">
        <v>307</v>
      </c>
      <c r="D8" s="5"/>
      <c r="E8" s="5" t="s">
        <v>307</v>
      </c>
      <c r="F8" s="5" t="s">
        <v>307</v>
      </c>
      <c r="G8" s="5"/>
      <c r="H8" s="5"/>
      <c r="I8" s="5" t="s">
        <v>307</v>
      </c>
      <c r="J8" s="5" t="s">
        <v>439</v>
      </c>
    </row>
    <row r="9" spans="1:10" hidden="1" x14ac:dyDescent="0.45">
      <c r="A9" s="16" t="s">
        <v>442</v>
      </c>
      <c r="B9" s="16" t="s">
        <v>170</v>
      </c>
      <c r="C9" s="16" t="s">
        <v>307</v>
      </c>
      <c r="D9" s="16" t="s">
        <v>307</v>
      </c>
      <c r="E9" s="16" t="s">
        <v>307</v>
      </c>
      <c r="F9" s="16" t="s">
        <v>307</v>
      </c>
      <c r="G9" s="16"/>
      <c r="H9" s="16"/>
      <c r="I9" s="16"/>
      <c r="J9" s="16"/>
    </row>
    <row r="10" spans="1:10" hidden="1" x14ac:dyDescent="0.45">
      <c r="A10" s="16" t="s">
        <v>104</v>
      </c>
      <c r="B10" s="16" t="s">
        <v>44</v>
      </c>
      <c r="C10" s="16" t="s">
        <v>307</v>
      </c>
      <c r="D10" s="16" t="s">
        <v>307</v>
      </c>
      <c r="E10" s="16" t="s">
        <v>307</v>
      </c>
      <c r="F10" s="16" t="s">
        <v>307</v>
      </c>
      <c r="G10" s="16"/>
      <c r="H10" s="16"/>
      <c r="I10" s="16"/>
      <c r="J10" s="16"/>
    </row>
    <row r="11" spans="1:10" hidden="1" x14ac:dyDescent="0.45">
      <c r="A11" s="16" t="s">
        <v>473</v>
      </c>
      <c r="B11" s="16" t="s">
        <v>337</v>
      </c>
      <c r="C11" s="16" t="s">
        <v>307</v>
      </c>
      <c r="D11" s="16" t="s">
        <v>307</v>
      </c>
      <c r="E11" s="16" t="s">
        <v>307</v>
      </c>
      <c r="F11" s="16" t="s">
        <v>307</v>
      </c>
      <c r="G11" s="16"/>
      <c r="H11" s="16"/>
      <c r="I11" s="16"/>
      <c r="J11" s="16"/>
    </row>
    <row r="12" spans="1:10" hidden="1" x14ac:dyDescent="0.45">
      <c r="A12" s="16" t="s">
        <v>99</v>
      </c>
      <c r="B12" s="16" t="s">
        <v>9</v>
      </c>
      <c r="C12" s="16" t="s">
        <v>307</v>
      </c>
      <c r="D12" s="16" t="s">
        <v>307</v>
      </c>
      <c r="E12" s="16" t="s">
        <v>307</v>
      </c>
      <c r="F12" s="16" t="s">
        <v>307</v>
      </c>
      <c r="G12" s="16"/>
      <c r="H12" s="16"/>
      <c r="I12" s="16"/>
      <c r="J12" s="16"/>
    </row>
    <row r="13" spans="1:10" hidden="1" x14ac:dyDescent="0.45">
      <c r="A13" s="16" t="s">
        <v>325</v>
      </c>
      <c r="B13" s="16" t="s">
        <v>163</v>
      </c>
      <c r="C13" s="16" t="s">
        <v>307</v>
      </c>
      <c r="D13" s="16" t="s">
        <v>307</v>
      </c>
      <c r="E13" s="16" t="s">
        <v>307</v>
      </c>
      <c r="F13" s="16" t="s">
        <v>307</v>
      </c>
      <c r="G13" s="16"/>
      <c r="H13" s="16"/>
      <c r="I13" s="16"/>
      <c r="J13" s="16"/>
    </row>
    <row r="14" spans="1:10" hidden="1" x14ac:dyDescent="0.45">
      <c r="A14" s="16" t="s">
        <v>521</v>
      </c>
      <c r="B14" s="16" t="s">
        <v>331</v>
      </c>
      <c r="C14" s="16" t="s">
        <v>307</v>
      </c>
      <c r="D14" s="16" t="s">
        <v>307</v>
      </c>
      <c r="E14" s="16" t="s">
        <v>307</v>
      </c>
      <c r="F14" s="16" t="s">
        <v>307</v>
      </c>
      <c r="G14" s="16"/>
      <c r="H14" s="16"/>
      <c r="I14" s="16"/>
      <c r="J14" s="16"/>
    </row>
    <row r="15" spans="1:10" hidden="1" x14ac:dyDescent="0.45">
      <c r="A15" s="6"/>
      <c r="B15" s="6" t="s">
        <v>77</v>
      </c>
      <c r="C15" s="6"/>
      <c r="D15" s="6"/>
      <c r="E15" s="6"/>
      <c r="F15" s="6"/>
      <c r="G15" s="6"/>
      <c r="H15" s="6" t="s">
        <v>307</v>
      </c>
      <c r="I15" s="6"/>
      <c r="J15" s="6" t="s">
        <v>308</v>
      </c>
    </row>
    <row r="16" spans="1:10" x14ac:dyDescent="0.45">
      <c r="A16" s="5" t="s">
        <v>536</v>
      </c>
      <c r="B16" s="5" t="s">
        <v>164</v>
      </c>
      <c r="C16" s="5" t="s">
        <v>307</v>
      </c>
      <c r="D16" s="5"/>
      <c r="E16" s="5" t="s">
        <v>307</v>
      </c>
      <c r="F16" s="5" t="s">
        <v>307</v>
      </c>
      <c r="G16" s="5"/>
      <c r="H16" s="5"/>
      <c r="I16" s="5" t="s">
        <v>307</v>
      </c>
      <c r="J16" s="5"/>
    </row>
    <row r="17" spans="1:10" x14ac:dyDescent="0.45">
      <c r="A17" s="5" t="s">
        <v>537</v>
      </c>
      <c r="B17" s="5" t="s">
        <v>332</v>
      </c>
      <c r="C17" s="5" t="s">
        <v>307</v>
      </c>
      <c r="D17" s="5" t="s">
        <v>307</v>
      </c>
      <c r="E17" s="5"/>
      <c r="F17" s="5" t="s">
        <v>307</v>
      </c>
      <c r="G17" s="5"/>
      <c r="H17" s="5"/>
      <c r="I17" s="5" t="s">
        <v>307</v>
      </c>
      <c r="J17" s="5"/>
    </row>
    <row r="18" spans="1:10" hidden="1" x14ac:dyDescent="0.45">
      <c r="A18" s="16" t="s">
        <v>90</v>
      </c>
      <c r="B18" s="16" t="s">
        <v>14</v>
      </c>
      <c r="C18" s="16" t="s">
        <v>307</v>
      </c>
      <c r="D18" s="16" t="s">
        <v>307</v>
      </c>
      <c r="E18" s="16" t="s">
        <v>307</v>
      </c>
      <c r="F18" s="16" t="s">
        <v>307</v>
      </c>
      <c r="G18" s="16"/>
      <c r="H18" s="16"/>
      <c r="I18" s="16"/>
      <c r="J18" s="16"/>
    </row>
    <row r="19" spans="1:10" hidden="1" x14ac:dyDescent="0.45">
      <c r="A19" s="16" t="s">
        <v>545</v>
      </c>
      <c r="B19" s="16" t="s">
        <v>336</v>
      </c>
      <c r="C19" s="16" t="s">
        <v>307</v>
      </c>
      <c r="D19" s="16" t="s">
        <v>307</v>
      </c>
      <c r="E19" s="16" t="s">
        <v>307</v>
      </c>
      <c r="F19" s="16" t="s">
        <v>307</v>
      </c>
      <c r="G19" s="16"/>
      <c r="H19" s="16"/>
      <c r="I19" s="16"/>
      <c r="J19" s="16"/>
    </row>
    <row r="20" spans="1:10" hidden="1" x14ac:dyDescent="0.45">
      <c r="A20" s="16" t="s">
        <v>94</v>
      </c>
      <c r="B20" s="16" t="s">
        <v>17</v>
      </c>
      <c r="C20" s="16" t="s">
        <v>307</v>
      </c>
      <c r="D20" s="16" t="s">
        <v>307</v>
      </c>
      <c r="E20" s="16" t="s">
        <v>307</v>
      </c>
      <c r="F20" s="16" t="s">
        <v>307</v>
      </c>
      <c r="G20" s="16"/>
      <c r="H20" s="16"/>
      <c r="I20" s="16"/>
      <c r="J20" s="16"/>
    </row>
    <row r="21" spans="1:10" hidden="1" x14ac:dyDescent="0.45">
      <c r="A21" s="16" t="s">
        <v>91</v>
      </c>
      <c r="B21" s="16" t="s">
        <v>61</v>
      </c>
      <c r="C21" s="16" t="s">
        <v>307</v>
      </c>
      <c r="D21" s="16" t="s">
        <v>307</v>
      </c>
      <c r="E21" s="16" t="s">
        <v>307</v>
      </c>
      <c r="F21" s="16" t="s">
        <v>307</v>
      </c>
      <c r="G21" s="16"/>
      <c r="H21" s="16"/>
      <c r="I21" s="16"/>
      <c r="J21" s="16"/>
    </row>
    <row r="22" spans="1:10" hidden="1" x14ac:dyDescent="0.45">
      <c r="A22" s="16" t="s">
        <v>581</v>
      </c>
      <c r="B22" s="16" t="s">
        <v>335</v>
      </c>
      <c r="C22" s="16" t="s">
        <v>307</v>
      </c>
      <c r="D22" s="16" t="s">
        <v>307</v>
      </c>
      <c r="E22" s="16" t="s">
        <v>307</v>
      </c>
      <c r="F22" s="16" t="s">
        <v>307</v>
      </c>
      <c r="G22" s="16"/>
      <c r="H22" s="16"/>
      <c r="I22" s="16"/>
      <c r="J22" s="16"/>
    </row>
    <row r="23" spans="1:10" hidden="1" x14ac:dyDescent="0.45">
      <c r="A23" s="16" t="s">
        <v>588</v>
      </c>
      <c r="B23" s="16" t="s">
        <v>46</v>
      </c>
      <c r="C23" s="16" t="s">
        <v>307</v>
      </c>
      <c r="D23" s="16" t="s">
        <v>307</v>
      </c>
      <c r="E23" s="16" t="s">
        <v>307</v>
      </c>
      <c r="F23" s="16" t="s">
        <v>307</v>
      </c>
      <c r="G23" s="16"/>
      <c r="H23" s="16"/>
      <c r="I23" s="16"/>
      <c r="J23" s="16"/>
    </row>
    <row r="24" spans="1:10" x14ac:dyDescent="0.45">
      <c r="A24" s="5" t="s">
        <v>598</v>
      </c>
      <c r="B24" s="5" t="s">
        <v>6</v>
      </c>
      <c r="C24" s="5" t="s">
        <v>307</v>
      </c>
      <c r="D24" s="5"/>
      <c r="E24" s="5" t="s">
        <v>307</v>
      </c>
      <c r="F24" s="5" t="s">
        <v>307</v>
      </c>
      <c r="G24" s="5"/>
      <c r="H24" s="5"/>
      <c r="I24" s="5" t="s">
        <v>307</v>
      </c>
      <c r="J24" s="5"/>
    </row>
    <row r="25" spans="1:10" hidden="1" x14ac:dyDescent="0.45">
      <c r="A25" s="16" t="s">
        <v>599</v>
      </c>
      <c r="B25" s="16" t="s">
        <v>339</v>
      </c>
      <c r="C25" s="16" t="s">
        <v>307</v>
      </c>
      <c r="D25" s="16" t="s">
        <v>307</v>
      </c>
      <c r="E25" s="16" t="s">
        <v>307</v>
      </c>
      <c r="F25" s="16" t="s">
        <v>307</v>
      </c>
      <c r="G25" s="16"/>
      <c r="H25" s="16"/>
      <c r="I25" s="16"/>
      <c r="J25" s="16"/>
    </row>
    <row r="26" spans="1:10" hidden="1" x14ac:dyDescent="0.45">
      <c r="A26" s="6"/>
      <c r="B26" s="6" t="s">
        <v>47</v>
      </c>
      <c r="C26" s="6" t="s">
        <v>307</v>
      </c>
      <c r="D26" s="6" t="s">
        <v>307</v>
      </c>
      <c r="E26" s="6"/>
      <c r="F26" s="6"/>
      <c r="G26" s="6"/>
      <c r="H26" s="6" t="s">
        <v>307</v>
      </c>
      <c r="I26" s="6"/>
      <c r="J26" s="6"/>
    </row>
    <row r="27" spans="1:10" x14ac:dyDescent="0.45">
      <c r="A27" s="6"/>
      <c r="B27" s="6" t="s">
        <v>352</v>
      </c>
      <c r="C27" s="6" t="s">
        <v>307</v>
      </c>
      <c r="D27" s="6"/>
      <c r="E27" s="6" t="s">
        <v>307</v>
      </c>
      <c r="F27" s="6" t="s">
        <v>307</v>
      </c>
      <c r="G27" s="6"/>
      <c r="H27" s="6"/>
      <c r="I27" s="6" t="s">
        <v>307</v>
      </c>
      <c r="J27" s="6" t="s">
        <v>533</v>
      </c>
    </row>
    <row r="28" spans="1:10" hidden="1" x14ac:dyDescent="0.45">
      <c r="A28" s="6"/>
      <c r="B28" s="6" t="s">
        <v>264</v>
      </c>
      <c r="C28" s="6" t="s">
        <v>307</v>
      </c>
      <c r="D28" s="6"/>
      <c r="E28" s="6"/>
      <c r="F28" s="6" t="s">
        <v>307</v>
      </c>
      <c r="G28" s="6"/>
      <c r="H28" s="6" t="s">
        <v>307</v>
      </c>
      <c r="I28" s="6"/>
      <c r="J28" s="6"/>
    </row>
    <row r="29" spans="1:10" hidden="1" x14ac:dyDescent="0.45">
      <c r="A29" s="5"/>
      <c r="B29" s="5" t="s">
        <v>353</v>
      </c>
      <c r="C29" s="5" t="s">
        <v>307</v>
      </c>
      <c r="D29" s="5"/>
      <c r="E29" s="5"/>
      <c r="F29" s="5"/>
      <c r="G29" s="5"/>
      <c r="H29" s="5" t="s">
        <v>307</v>
      </c>
      <c r="I29" s="5"/>
      <c r="J29" s="5"/>
    </row>
    <row r="30" spans="1:10" hidden="1" x14ac:dyDescent="0.45">
      <c r="A30" s="6"/>
      <c r="B30" s="6" t="s">
        <v>274</v>
      </c>
      <c r="C30" s="6" t="s">
        <v>307</v>
      </c>
      <c r="D30" s="6"/>
      <c r="E30" s="6" t="s">
        <v>307</v>
      </c>
      <c r="F30" s="6" t="s">
        <v>307</v>
      </c>
      <c r="G30" s="6"/>
      <c r="H30" s="6" t="s">
        <v>307</v>
      </c>
      <c r="I30" s="6"/>
      <c r="J30" s="6" t="s">
        <v>618</v>
      </c>
    </row>
    <row r="31" spans="1:10" hidden="1" x14ac:dyDescent="0.45">
      <c r="A31" s="5"/>
      <c r="B31" s="5" t="s">
        <v>43</v>
      </c>
      <c r="C31" s="5"/>
      <c r="D31" s="5"/>
      <c r="E31" s="5"/>
      <c r="F31" s="5"/>
      <c r="G31" s="5"/>
      <c r="H31" s="5" t="s">
        <v>307</v>
      </c>
      <c r="I31" s="5"/>
      <c r="J31" s="5" t="s">
        <v>308</v>
      </c>
    </row>
    <row r="32" spans="1:10" hidden="1" x14ac:dyDescent="0.45">
      <c r="A32" s="16" t="s">
        <v>98</v>
      </c>
      <c r="B32" s="16" t="s">
        <v>18</v>
      </c>
      <c r="C32" s="16" t="s">
        <v>307</v>
      </c>
      <c r="D32" s="16" t="s">
        <v>307</v>
      </c>
      <c r="E32" s="16" t="s">
        <v>307</v>
      </c>
      <c r="F32" s="16"/>
      <c r="G32" s="16"/>
      <c r="H32" s="16"/>
      <c r="I32" s="16"/>
      <c r="J32" s="16"/>
    </row>
    <row r="33" spans="1:10" x14ac:dyDescent="0.45">
      <c r="A33" s="6"/>
      <c r="B33" s="6" t="s">
        <v>260</v>
      </c>
      <c r="C33" s="6" t="s">
        <v>307</v>
      </c>
      <c r="D33" s="6"/>
      <c r="E33" s="6" t="s">
        <v>307</v>
      </c>
      <c r="F33" s="6" t="s">
        <v>307</v>
      </c>
      <c r="G33" s="6"/>
      <c r="H33" s="6"/>
      <c r="I33" s="6" t="s">
        <v>307</v>
      </c>
      <c r="J33" s="6" t="s">
        <v>533</v>
      </c>
    </row>
    <row r="34" spans="1:10" hidden="1" x14ac:dyDescent="0.45">
      <c r="A34" s="16" t="s">
        <v>100</v>
      </c>
      <c r="B34" s="16" t="s">
        <v>10</v>
      </c>
      <c r="C34" s="16" t="s">
        <v>307</v>
      </c>
      <c r="D34" s="16" t="s">
        <v>307</v>
      </c>
      <c r="E34" s="16" t="s">
        <v>307</v>
      </c>
      <c r="F34" s="16"/>
      <c r="G34" s="16"/>
      <c r="H34" s="16"/>
      <c r="I34" s="16"/>
      <c r="J34" s="16"/>
    </row>
    <row r="35" spans="1:10" hidden="1" x14ac:dyDescent="0.45">
      <c r="A35" s="6"/>
      <c r="B35" s="6" t="s">
        <v>48</v>
      </c>
      <c r="C35" s="6"/>
      <c r="D35" s="6"/>
      <c r="E35" s="6"/>
      <c r="F35" s="6"/>
      <c r="G35" s="6"/>
      <c r="H35" s="6" t="s">
        <v>307</v>
      </c>
      <c r="I35" s="6"/>
      <c r="J35" s="6" t="s">
        <v>308</v>
      </c>
    </row>
    <row r="36" spans="1:10" hidden="1" x14ac:dyDescent="0.45">
      <c r="A36" s="6"/>
      <c r="B36" s="6" t="s">
        <v>69</v>
      </c>
      <c r="C36" s="6" t="s">
        <v>307</v>
      </c>
      <c r="D36" s="6"/>
      <c r="E36" s="6"/>
      <c r="F36" s="6" t="s">
        <v>307</v>
      </c>
      <c r="G36" s="6"/>
      <c r="H36" s="6" t="s">
        <v>307</v>
      </c>
      <c r="I36" s="6"/>
      <c r="J36" s="6" t="s">
        <v>827</v>
      </c>
    </row>
    <row r="37" spans="1:10" hidden="1" x14ac:dyDescent="0.45">
      <c r="A37" s="16" t="s">
        <v>319</v>
      </c>
      <c r="B37" s="16" t="s">
        <v>13</v>
      </c>
      <c r="C37" s="16" t="s">
        <v>307</v>
      </c>
      <c r="D37" s="16" t="s">
        <v>307</v>
      </c>
      <c r="E37" s="16" t="s">
        <v>307</v>
      </c>
      <c r="F37" s="16"/>
      <c r="G37" s="16"/>
      <c r="H37" s="16"/>
      <c r="I37" s="16"/>
      <c r="J37" s="16"/>
    </row>
    <row r="38" spans="1:10" hidden="1" x14ac:dyDescent="0.45">
      <c r="A38" s="6"/>
      <c r="B38" s="6" t="s">
        <v>75</v>
      </c>
      <c r="C38" s="6" t="s">
        <v>307</v>
      </c>
      <c r="D38" s="6"/>
      <c r="E38" s="6" t="s">
        <v>307</v>
      </c>
      <c r="F38" s="6" t="s">
        <v>307</v>
      </c>
      <c r="G38" s="6"/>
      <c r="H38" s="6" t="s">
        <v>307</v>
      </c>
      <c r="I38" s="6"/>
      <c r="J38" s="6"/>
    </row>
    <row r="39" spans="1:10" hidden="1" x14ac:dyDescent="0.45">
      <c r="A39" s="6"/>
      <c r="B39" s="6" t="s">
        <v>334</v>
      </c>
      <c r="C39" s="6" t="s">
        <v>307</v>
      </c>
      <c r="D39" s="6"/>
      <c r="E39" s="6" t="s">
        <v>307</v>
      </c>
      <c r="F39" s="6" t="s">
        <v>307</v>
      </c>
      <c r="G39" s="6"/>
      <c r="H39" s="6" t="s">
        <v>307</v>
      </c>
      <c r="I39" s="6"/>
      <c r="J39" s="6"/>
    </row>
    <row r="40" spans="1:10" hidden="1" x14ac:dyDescent="0.45">
      <c r="A40" s="6"/>
      <c r="B40" s="6" t="s">
        <v>284</v>
      </c>
      <c r="C40" s="6" t="s">
        <v>307</v>
      </c>
      <c r="D40" s="6" t="s">
        <v>307</v>
      </c>
      <c r="E40" s="6"/>
      <c r="F40" s="6" t="s">
        <v>307</v>
      </c>
      <c r="G40" s="6"/>
      <c r="H40" s="6" t="s">
        <v>307</v>
      </c>
      <c r="I40" s="6"/>
      <c r="J40" s="6"/>
    </row>
    <row r="41" spans="1:10" hidden="1" x14ac:dyDescent="0.45">
      <c r="A41" s="6"/>
      <c r="B41" s="6" t="s">
        <v>302</v>
      </c>
      <c r="C41" s="6" t="s">
        <v>307</v>
      </c>
      <c r="D41" s="6"/>
      <c r="E41" s="6" t="s">
        <v>307</v>
      </c>
      <c r="F41" s="6" t="s">
        <v>307</v>
      </c>
      <c r="G41" s="6"/>
      <c r="H41" s="6" t="s">
        <v>307</v>
      </c>
      <c r="I41" s="6"/>
      <c r="J41" s="6"/>
    </row>
    <row r="42" spans="1:10" hidden="1" x14ac:dyDescent="0.45">
      <c r="A42" s="6"/>
      <c r="B42" s="6" t="s">
        <v>286</v>
      </c>
      <c r="C42" s="6" t="s">
        <v>307</v>
      </c>
      <c r="D42" s="6" t="s">
        <v>307</v>
      </c>
      <c r="E42" s="6"/>
      <c r="F42" s="6" t="s">
        <v>307</v>
      </c>
      <c r="G42" s="6"/>
      <c r="H42" s="6" t="s">
        <v>307</v>
      </c>
      <c r="I42" s="6"/>
      <c r="J42" s="6"/>
    </row>
    <row r="43" spans="1:10" hidden="1" x14ac:dyDescent="0.45">
      <c r="A43" s="5" t="s">
        <v>639</v>
      </c>
      <c r="B43" s="5" t="s">
        <v>333</v>
      </c>
      <c r="C43" s="5" t="s">
        <v>307</v>
      </c>
      <c r="D43" s="5" t="s">
        <v>307</v>
      </c>
      <c r="E43" s="5"/>
      <c r="F43" s="5" t="s">
        <v>307</v>
      </c>
      <c r="G43" s="5"/>
      <c r="H43" s="5" t="s">
        <v>307</v>
      </c>
      <c r="I43" s="5"/>
      <c r="J43" s="5" t="s">
        <v>640</v>
      </c>
    </row>
    <row r="44" spans="1:10" hidden="1" x14ac:dyDescent="0.45">
      <c r="A44" s="6"/>
      <c r="B44" s="6" t="s">
        <v>354</v>
      </c>
      <c r="C44" s="6" t="s">
        <v>307</v>
      </c>
      <c r="D44" s="6" t="s">
        <v>307</v>
      </c>
      <c r="E44" s="6"/>
      <c r="F44" s="6" t="s">
        <v>307</v>
      </c>
      <c r="G44" s="6"/>
      <c r="H44" s="6" t="s">
        <v>307</v>
      </c>
      <c r="I44" s="6"/>
      <c r="J44" s="6"/>
    </row>
    <row r="45" spans="1:10" hidden="1" x14ac:dyDescent="0.45">
      <c r="A45" s="6"/>
      <c r="B45" s="6" t="s">
        <v>160</v>
      </c>
      <c r="C45" s="6"/>
      <c r="D45" s="6"/>
      <c r="E45" s="6"/>
      <c r="F45" s="6"/>
      <c r="G45" s="6"/>
      <c r="H45" s="6" t="s">
        <v>307</v>
      </c>
      <c r="I45" s="6"/>
      <c r="J45" s="6" t="s">
        <v>308</v>
      </c>
    </row>
    <row r="46" spans="1:10" hidden="1" x14ac:dyDescent="0.45">
      <c r="A46" s="6"/>
      <c r="B46" s="6" t="s">
        <v>297</v>
      </c>
      <c r="C46" s="6"/>
      <c r="D46" s="6"/>
      <c r="E46" s="6"/>
      <c r="F46" s="6"/>
      <c r="G46" s="6"/>
      <c r="H46" s="6" t="s">
        <v>307</v>
      </c>
      <c r="I46" s="6"/>
      <c r="J46" s="6" t="s">
        <v>826</v>
      </c>
    </row>
    <row r="47" spans="1:10" hidden="1" x14ac:dyDescent="0.45">
      <c r="A47" s="6"/>
      <c r="B47" s="6" t="s">
        <v>281</v>
      </c>
      <c r="C47" s="6" t="s">
        <v>307</v>
      </c>
      <c r="D47" s="6"/>
      <c r="E47" s="6" t="s">
        <v>307</v>
      </c>
      <c r="F47" s="6" t="s">
        <v>307</v>
      </c>
      <c r="G47" s="6"/>
      <c r="H47" s="6" t="s">
        <v>307</v>
      </c>
      <c r="I47" s="6"/>
      <c r="J47" s="6"/>
    </row>
    <row r="48" spans="1:10" hidden="1" x14ac:dyDescent="0.45">
      <c r="A48" s="6"/>
      <c r="B48" s="6" t="s">
        <v>165</v>
      </c>
      <c r="C48" s="6" t="s">
        <v>307</v>
      </c>
      <c r="D48" s="6"/>
      <c r="E48" s="6" t="s">
        <v>307</v>
      </c>
      <c r="F48" s="6" t="s">
        <v>307</v>
      </c>
      <c r="G48" s="6"/>
      <c r="H48" s="6" t="s">
        <v>307</v>
      </c>
      <c r="I48" s="6"/>
      <c r="J48" s="6"/>
    </row>
    <row r="49" spans="1:10" x14ac:dyDescent="0.45">
      <c r="A49" s="5"/>
      <c r="B49" s="5" t="s">
        <v>63</v>
      </c>
      <c r="C49" s="5" t="s">
        <v>307</v>
      </c>
      <c r="D49" s="5"/>
      <c r="E49" s="5" t="s">
        <v>307</v>
      </c>
      <c r="F49" s="5" t="s">
        <v>307</v>
      </c>
      <c r="G49" s="5"/>
      <c r="H49" s="5"/>
      <c r="I49" s="5" t="s">
        <v>307</v>
      </c>
      <c r="J49" s="5"/>
    </row>
    <row r="50" spans="1:10" hidden="1" x14ac:dyDescent="0.45">
      <c r="A50" s="6"/>
      <c r="B50" s="6" t="s">
        <v>49</v>
      </c>
      <c r="C50" s="6"/>
      <c r="D50" s="6" t="s">
        <v>307</v>
      </c>
      <c r="E50" s="6" t="s">
        <v>307</v>
      </c>
      <c r="F50" s="6" t="s">
        <v>307</v>
      </c>
      <c r="G50" s="6"/>
      <c r="H50" s="6" t="s">
        <v>307</v>
      </c>
      <c r="I50" s="6"/>
      <c r="J50" s="6"/>
    </row>
    <row r="51" spans="1:10" hidden="1" x14ac:dyDescent="0.45">
      <c r="A51" s="16" t="s">
        <v>106</v>
      </c>
      <c r="B51" s="16" t="s">
        <v>20</v>
      </c>
      <c r="C51" s="16" t="s">
        <v>307</v>
      </c>
      <c r="D51" s="16" t="s">
        <v>307</v>
      </c>
      <c r="E51" s="16" t="s">
        <v>307</v>
      </c>
      <c r="F51" s="16" t="s">
        <v>307</v>
      </c>
      <c r="G51" s="16"/>
      <c r="H51" s="16"/>
      <c r="I51" s="16"/>
      <c r="J51" s="16"/>
    </row>
    <row r="52" spans="1:10" hidden="1" x14ac:dyDescent="0.45">
      <c r="A52" s="16" t="s">
        <v>649</v>
      </c>
      <c r="B52" s="16" t="s">
        <v>329</v>
      </c>
      <c r="C52" s="16" t="s">
        <v>307</v>
      </c>
      <c r="D52" s="16" t="s">
        <v>307</v>
      </c>
      <c r="E52" s="16" t="s">
        <v>307</v>
      </c>
      <c r="F52" s="16" t="s">
        <v>307</v>
      </c>
      <c r="G52" s="16"/>
      <c r="H52" s="16"/>
      <c r="I52" s="16"/>
      <c r="J52" s="16"/>
    </row>
    <row r="53" spans="1:10" hidden="1" x14ac:dyDescent="0.45">
      <c r="A53" s="16" t="s">
        <v>658</v>
      </c>
      <c r="B53" s="16" t="s">
        <v>330</v>
      </c>
      <c r="C53" s="16" t="s">
        <v>307</v>
      </c>
      <c r="D53" s="16" t="s">
        <v>307</v>
      </c>
      <c r="E53" s="16" t="s">
        <v>307</v>
      </c>
      <c r="F53" s="16" t="s">
        <v>307</v>
      </c>
      <c r="G53" s="16"/>
      <c r="H53" s="16"/>
      <c r="I53" s="16"/>
      <c r="J53" s="16"/>
    </row>
    <row r="54" spans="1:10" hidden="1" x14ac:dyDescent="0.45">
      <c r="A54" s="16" t="s">
        <v>668</v>
      </c>
      <c r="B54" s="16" t="s">
        <v>288</v>
      </c>
      <c r="C54" s="16" t="s">
        <v>307</v>
      </c>
      <c r="D54" s="16" t="s">
        <v>307</v>
      </c>
      <c r="E54" s="16" t="s">
        <v>307</v>
      </c>
      <c r="F54" s="16" t="s">
        <v>307</v>
      </c>
      <c r="G54" s="16"/>
      <c r="H54" s="16"/>
      <c r="I54" s="16"/>
      <c r="J54" s="16"/>
    </row>
    <row r="55" spans="1:10" hidden="1" x14ac:dyDescent="0.45">
      <c r="A55" s="16" t="s">
        <v>93</v>
      </c>
      <c r="B55" s="16" t="s">
        <v>40</v>
      </c>
      <c r="C55" s="16" t="s">
        <v>307</v>
      </c>
      <c r="D55" s="16" t="s">
        <v>307</v>
      </c>
      <c r="E55" s="16" t="s">
        <v>307</v>
      </c>
      <c r="F55" s="16" t="s">
        <v>307</v>
      </c>
      <c r="G55" s="16"/>
      <c r="H55" s="16"/>
      <c r="I55" s="16"/>
      <c r="J55" s="16"/>
    </row>
    <row r="56" spans="1:10" hidden="1" x14ac:dyDescent="0.45">
      <c r="A56" s="16" t="s">
        <v>690</v>
      </c>
      <c r="B56" s="16" t="s">
        <v>161</v>
      </c>
      <c r="C56" s="16" t="s">
        <v>307</v>
      </c>
      <c r="D56" s="16" t="s">
        <v>307</v>
      </c>
      <c r="E56" s="16" t="s">
        <v>307</v>
      </c>
      <c r="F56" s="16" t="s">
        <v>307</v>
      </c>
      <c r="G56" s="16"/>
      <c r="H56" s="16"/>
      <c r="I56" s="16"/>
      <c r="J56" s="16"/>
    </row>
    <row r="57" spans="1:10" hidden="1" x14ac:dyDescent="0.45">
      <c r="A57" s="16" t="s">
        <v>103</v>
      </c>
      <c r="B57" s="16" t="s">
        <v>42</v>
      </c>
      <c r="C57" s="16" t="s">
        <v>307</v>
      </c>
      <c r="D57" s="16" t="s">
        <v>307</v>
      </c>
      <c r="E57" s="16" t="s">
        <v>307</v>
      </c>
      <c r="F57" s="16" t="s">
        <v>307</v>
      </c>
      <c r="G57" s="16"/>
      <c r="H57" s="16"/>
      <c r="I57" s="16"/>
      <c r="J57" s="16"/>
    </row>
    <row r="58" spans="1:10" hidden="1" x14ac:dyDescent="0.45">
      <c r="A58" s="6"/>
      <c r="B58" s="6" t="s">
        <v>166</v>
      </c>
      <c r="C58" s="6" t="s">
        <v>307</v>
      </c>
      <c r="D58" s="6"/>
      <c r="E58" s="6" t="s">
        <v>307</v>
      </c>
      <c r="F58" s="6" t="s">
        <v>307</v>
      </c>
      <c r="G58" s="6"/>
      <c r="H58" s="6" t="s">
        <v>307</v>
      </c>
      <c r="I58" s="6"/>
      <c r="J58" s="6"/>
    </row>
    <row r="59" spans="1:10" hidden="1" x14ac:dyDescent="0.45">
      <c r="A59" s="16" t="s">
        <v>708</v>
      </c>
      <c r="B59" s="16" t="s">
        <v>340</v>
      </c>
      <c r="C59" s="16" t="s">
        <v>307</v>
      </c>
      <c r="D59" s="16" t="s">
        <v>307</v>
      </c>
      <c r="E59" s="16" t="s">
        <v>307</v>
      </c>
      <c r="F59" s="16" t="s">
        <v>307</v>
      </c>
      <c r="G59" s="16"/>
      <c r="H59" s="16"/>
      <c r="I59" s="16"/>
      <c r="J59" s="16"/>
    </row>
    <row r="60" spans="1:10" hidden="1" x14ac:dyDescent="0.45">
      <c r="A60" s="6"/>
      <c r="B60" s="6" t="s">
        <v>355</v>
      </c>
      <c r="C60" s="6" t="s">
        <v>307</v>
      </c>
      <c r="D60" s="6"/>
      <c r="E60" s="6" t="s">
        <v>307</v>
      </c>
      <c r="F60" s="6" t="s">
        <v>307</v>
      </c>
      <c r="G60" s="6"/>
      <c r="H60" s="6" t="s">
        <v>307</v>
      </c>
      <c r="I60" s="6"/>
      <c r="J60" s="6"/>
    </row>
    <row r="61" spans="1:10" hidden="1" x14ac:dyDescent="0.45">
      <c r="A61" s="16" t="s">
        <v>724</v>
      </c>
      <c r="B61" s="16" t="s">
        <v>343</v>
      </c>
      <c r="C61" s="16" t="s">
        <v>307</v>
      </c>
      <c r="D61" s="16" t="s">
        <v>307</v>
      </c>
      <c r="E61" s="16" t="s">
        <v>307</v>
      </c>
      <c r="F61" s="16" t="s">
        <v>307</v>
      </c>
      <c r="G61" s="16"/>
      <c r="H61" s="16"/>
      <c r="I61" s="16"/>
      <c r="J61" s="16"/>
    </row>
    <row r="62" spans="1:10" hidden="1" x14ac:dyDescent="0.45">
      <c r="A62" s="5"/>
      <c r="B62" s="5" t="s">
        <v>341</v>
      </c>
      <c r="C62" s="5"/>
      <c r="D62" s="5"/>
      <c r="E62" s="5"/>
      <c r="F62" s="5"/>
      <c r="G62" s="5"/>
      <c r="H62" s="5" t="s">
        <v>307</v>
      </c>
      <c r="I62" s="5"/>
      <c r="J62" s="5" t="s">
        <v>736</v>
      </c>
    </row>
    <row r="63" spans="1:10" x14ac:dyDescent="0.45">
      <c r="A63" s="6"/>
      <c r="B63" s="6" t="s">
        <v>167</v>
      </c>
      <c r="C63" s="6" t="s">
        <v>307</v>
      </c>
      <c r="D63" s="6" t="s">
        <v>307</v>
      </c>
      <c r="E63" s="6" t="s">
        <v>307</v>
      </c>
      <c r="F63" s="6" t="s">
        <v>307</v>
      </c>
      <c r="G63" s="6" t="s">
        <v>307</v>
      </c>
      <c r="H63" s="6"/>
      <c r="I63" s="6" t="s">
        <v>307</v>
      </c>
      <c r="J63" s="6"/>
    </row>
    <row r="64" spans="1:10" hidden="1" x14ac:dyDescent="0.45">
      <c r="A64" s="6"/>
      <c r="B64" s="6" t="s">
        <v>168</v>
      </c>
      <c r="C64" s="6"/>
      <c r="D64" s="6"/>
      <c r="E64" s="6"/>
      <c r="F64" s="6"/>
      <c r="G64" s="6"/>
      <c r="H64" s="6" t="s">
        <v>307</v>
      </c>
      <c r="I64" s="6"/>
      <c r="J64" s="6" t="s">
        <v>534</v>
      </c>
    </row>
    <row r="65" spans="1:10" hidden="1" x14ac:dyDescent="0.45">
      <c r="A65" s="17" t="s">
        <v>92</v>
      </c>
      <c r="B65" s="17" t="s">
        <v>41</v>
      </c>
      <c r="C65" s="17" t="s">
        <v>307</v>
      </c>
      <c r="D65" s="17" t="s">
        <v>307</v>
      </c>
      <c r="E65" s="17" t="s">
        <v>307</v>
      </c>
      <c r="F65" s="17" t="s">
        <v>307</v>
      </c>
      <c r="G65" s="17"/>
      <c r="H65" s="17"/>
      <c r="I65" s="17"/>
      <c r="J65" s="17"/>
    </row>
    <row r="66" spans="1:10" x14ac:dyDescent="0.45">
      <c r="A66" s="5" t="s">
        <v>744</v>
      </c>
      <c r="B66" s="5" t="s">
        <v>169</v>
      </c>
      <c r="C66" s="5" t="s">
        <v>307</v>
      </c>
      <c r="D66" s="5"/>
      <c r="E66" s="5" t="s">
        <v>307</v>
      </c>
      <c r="F66" s="5" t="s">
        <v>307</v>
      </c>
      <c r="G66" s="5"/>
      <c r="H66" s="5"/>
      <c r="I66" s="5" t="s">
        <v>307</v>
      </c>
      <c r="J66" s="5"/>
    </row>
    <row r="67" spans="1:10" x14ac:dyDescent="0.45">
      <c r="A67" s="6"/>
      <c r="B67" s="6" t="s">
        <v>171</v>
      </c>
      <c r="C67" s="6" t="s">
        <v>307</v>
      </c>
      <c r="D67" s="6" t="s">
        <v>307</v>
      </c>
      <c r="E67" s="6" t="s">
        <v>307</v>
      </c>
      <c r="F67" s="6" t="s">
        <v>307</v>
      </c>
      <c r="G67" s="6" t="s">
        <v>307</v>
      </c>
      <c r="H67" s="6"/>
      <c r="I67" s="6" t="s">
        <v>307</v>
      </c>
      <c r="J67" s="6"/>
    </row>
    <row r="68" spans="1:10" hidden="1" x14ac:dyDescent="0.45">
      <c r="A68" s="6"/>
      <c r="B68" s="6" t="s">
        <v>64</v>
      </c>
      <c r="C68" s="6" t="s">
        <v>307</v>
      </c>
      <c r="D68" s="6"/>
      <c r="E68" s="6" t="s">
        <v>307</v>
      </c>
      <c r="F68" s="6" t="s">
        <v>307</v>
      </c>
      <c r="G68" s="6"/>
      <c r="H68" s="6" t="s">
        <v>307</v>
      </c>
      <c r="I68" s="6"/>
      <c r="J68" s="6"/>
    </row>
    <row r="69" spans="1:10" x14ac:dyDescent="0.45">
      <c r="A69" s="5"/>
      <c r="B69" s="5" t="s">
        <v>172</v>
      </c>
      <c r="C69" s="5" t="s">
        <v>307</v>
      </c>
      <c r="D69" s="5"/>
      <c r="E69" s="5" t="s">
        <v>307</v>
      </c>
      <c r="F69" s="5" t="s">
        <v>307</v>
      </c>
      <c r="G69" s="5"/>
      <c r="H69" s="5"/>
      <c r="I69" s="5" t="s">
        <v>307</v>
      </c>
      <c r="J69" s="5"/>
    </row>
    <row r="70" spans="1:10" x14ac:dyDescent="0.45">
      <c r="A70" s="6"/>
      <c r="B70" s="6" t="s">
        <v>12</v>
      </c>
      <c r="C70" s="6" t="s">
        <v>307</v>
      </c>
      <c r="D70" s="6"/>
      <c r="E70" s="6" t="s">
        <v>307</v>
      </c>
      <c r="F70" s="6" t="s">
        <v>307</v>
      </c>
      <c r="G70" s="6" t="s">
        <v>307</v>
      </c>
      <c r="H70" s="6"/>
      <c r="I70" s="6" t="s">
        <v>307</v>
      </c>
      <c r="J70" s="6"/>
    </row>
    <row r="71" spans="1:10" hidden="1" x14ac:dyDescent="0.45">
      <c r="A71" s="6"/>
      <c r="B71" s="6" t="s">
        <v>8</v>
      </c>
      <c r="C71" s="6"/>
      <c r="D71" s="6"/>
      <c r="E71" s="6"/>
      <c r="F71" s="6"/>
      <c r="G71" s="6"/>
      <c r="H71" s="6" t="s">
        <v>307</v>
      </c>
      <c r="I71" s="6"/>
      <c r="J71" s="6" t="s">
        <v>535</v>
      </c>
    </row>
    <row r="72" spans="1:10" hidden="1" x14ac:dyDescent="0.45">
      <c r="A72" s="6"/>
      <c r="B72" s="6" t="s">
        <v>74</v>
      </c>
      <c r="C72" s="6" t="s">
        <v>307</v>
      </c>
      <c r="D72" s="6" t="s">
        <v>307</v>
      </c>
      <c r="E72" s="6" t="s">
        <v>307</v>
      </c>
      <c r="F72" s="6" t="s">
        <v>307</v>
      </c>
      <c r="G72" s="6" t="s">
        <v>307</v>
      </c>
      <c r="H72" s="6" t="s">
        <v>307</v>
      </c>
      <c r="I72" s="6"/>
      <c r="J72" s="6"/>
    </row>
    <row r="73" spans="1:10" x14ac:dyDescent="0.45">
      <c r="A73" s="6"/>
      <c r="B73" s="6" t="s">
        <v>45</v>
      </c>
      <c r="C73" s="6" t="s">
        <v>307</v>
      </c>
      <c r="D73" s="6" t="s">
        <v>307</v>
      </c>
      <c r="E73" s="6" t="s">
        <v>307</v>
      </c>
      <c r="F73" s="6" t="s">
        <v>307</v>
      </c>
      <c r="G73" s="6" t="s">
        <v>307</v>
      </c>
      <c r="H73" s="6"/>
      <c r="I73" s="6" t="s">
        <v>307</v>
      </c>
      <c r="J73" s="6"/>
    </row>
    <row r="74" spans="1:10" hidden="1" x14ac:dyDescent="0.45">
      <c r="A74" s="16" t="s">
        <v>105</v>
      </c>
      <c r="B74" s="16" t="s">
        <v>16</v>
      </c>
      <c r="C74" s="16" t="s">
        <v>307</v>
      </c>
      <c r="D74" s="16" t="s">
        <v>307</v>
      </c>
      <c r="E74" s="16" t="s">
        <v>307</v>
      </c>
      <c r="F74" s="16" t="s">
        <v>307</v>
      </c>
      <c r="G74" s="16"/>
      <c r="H74" s="16"/>
      <c r="I74" s="16"/>
      <c r="J74" s="16"/>
    </row>
    <row r="75" spans="1:10" hidden="1" x14ac:dyDescent="0.45">
      <c r="A75" s="6"/>
      <c r="B75" s="6" t="s">
        <v>356</v>
      </c>
      <c r="C75" s="6"/>
      <c r="D75" s="6"/>
      <c r="E75" s="6"/>
      <c r="F75" s="6"/>
      <c r="G75" s="6"/>
      <c r="H75" s="6" t="s">
        <v>307</v>
      </c>
      <c r="I75" s="6"/>
      <c r="J75" s="6" t="s">
        <v>308</v>
      </c>
    </row>
    <row r="76" spans="1:10" hidden="1" x14ac:dyDescent="0.45">
      <c r="A76" s="6"/>
      <c r="B76" s="6" t="s">
        <v>173</v>
      </c>
      <c r="C76" s="6" t="s">
        <v>307</v>
      </c>
      <c r="D76" s="6"/>
      <c r="E76" s="6"/>
      <c r="F76" s="6" t="s">
        <v>307</v>
      </c>
      <c r="G76" s="6"/>
      <c r="H76" s="6" t="s">
        <v>307</v>
      </c>
      <c r="I76" s="6"/>
      <c r="J76" s="6"/>
    </row>
    <row r="77" spans="1:10" hidden="1" x14ac:dyDescent="0.45">
      <c r="A77" s="16" t="s">
        <v>788</v>
      </c>
      <c r="B77" s="16" t="s">
        <v>50</v>
      </c>
      <c r="C77" s="16" t="s">
        <v>307</v>
      </c>
      <c r="D77" s="16" t="s">
        <v>307</v>
      </c>
      <c r="E77" s="16" t="s">
        <v>307</v>
      </c>
      <c r="F77" s="16" t="s">
        <v>307</v>
      </c>
      <c r="G77" s="16"/>
      <c r="H77" s="16"/>
      <c r="I77" s="16"/>
      <c r="J77" s="16"/>
    </row>
    <row r="78" spans="1:10" hidden="1" x14ac:dyDescent="0.45">
      <c r="A78" s="16" t="s">
        <v>101</v>
      </c>
      <c r="B78" s="16" t="s">
        <v>11</v>
      </c>
      <c r="C78" s="16" t="s">
        <v>307</v>
      </c>
      <c r="D78" s="16" t="s">
        <v>307</v>
      </c>
      <c r="E78" s="16" t="s">
        <v>307</v>
      </c>
      <c r="F78" s="16" t="s">
        <v>307</v>
      </c>
      <c r="G78" s="16"/>
      <c r="H78" s="16"/>
      <c r="I78" s="16"/>
      <c r="J78" s="16"/>
    </row>
    <row r="79" spans="1:10" hidden="1" x14ac:dyDescent="0.45">
      <c r="A79" s="6"/>
      <c r="B79" s="6" t="s">
        <v>357</v>
      </c>
      <c r="C79" s="6" t="s">
        <v>307</v>
      </c>
      <c r="D79" s="6"/>
      <c r="E79" s="6" t="s">
        <v>307</v>
      </c>
      <c r="F79" s="6" t="s">
        <v>307</v>
      </c>
      <c r="G79" s="6"/>
      <c r="H79" s="6" t="s">
        <v>307</v>
      </c>
      <c r="I79" s="6"/>
      <c r="J79" s="6" t="s">
        <v>618</v>
      </c>
    </row>
    <row r="80" spans="1:10" x14ac:dyDescent="0.45">
      <c r="A80" s="5"/>
      <c r="B80" s="5" t="s">
        <v>358</v>
      </c>
      <c r="C80" s="5" t="s">
        <v>307</v>
      </c>
      <c r="D80" s="5"/>
      <c r="E80" s="5" t="s">
        <v>307</v>
      </c>
      <c r="F80" s="5" t="s">
        <v>307</v>
      </c>
      <c r="G80" s="5"/>
      <c r="H80" s="5"/>
      <c r="I80" s="5" t="s">
        <v>307</v>
      </c>
      <c r="J80" s="5"/>
    </row>
    <row r="81" spans="1:10" x14ac:dyDescent="0.45">
      <c r="A81" s="5"/>
      <c r="B81" s="5" t="s">
        <v>359</v>
      </c>
      <c r="C81" s="5" t="s">
        <v>307</v>
      </c>
      <c r="D81" s="5" t="s">
        <v>307</v>
      </c>
      <c r="E81" s="5"/>
      <c r="F81" s="5" t="s">
        <v>307</v>
      </c>
      <c r="G81" s="5"/>
      <c r="H81" s="5"/>
      <c r="I81" s="5" t="s">
        <v>307</v>
      </c>
      <c r="J81" s="5"/>
    </row>
    <row r="82" spans="1:10" x14ac:dyDescent="0.45">
      <c r="A82" s="5"/>
      <c r="B82" s="5" t="s">
        <v>360</v>
      </c>
      <c r="C82" s="5" t="s">
        <v>307</v>
      </c>
      <c r="D82" s="5"/>
      <c r="E82" s="5" t="s">
        <v>307</v>
      </c>
      <c r="F82" s="5" t="s">
        <v>307</v>
      </c>
      <c r="G82" s="5"/>
      <c r="H82" s="5"/>
      <c r="I82" s="5" t="s">
        <v>307</v>
      </c>
      <c r="J82" s="5"/>
    </row>
    <row r="83" spans="1:10" hidden="1" x14ac:dyDescent="0.45">
      <c r="A83" s="6"/>
      <c r="B83" s="6" t="s">
        <v>361</v>
      </c>
      <c r="C83" s="6" t="s">
        <v>307</v>
      </c>
      <c r="D83" s="6"/>
      <c r="E83" s="6" t="s">
        <v>307</v>
      </c>
      <c r="F83" s="6" t="s">
        <v>307</v>
      </c>
      <c r="G83" s="6"/>
      <c r="H83" s="6" t="s">
        <v>307</v>
      </c>
      <c r="I83" s="6"/>
      <c r="J83" s="6"/>
    </row>
    <row r="84" spans="1:10" hidden="1" x14ac:dyDescent="0.45">
      <c r="A84" s="6"/>
      <c r="B84" s="6" t="s">
        <v>303</v>
      </c>
      <c r="C84" s="6" t="s">
        <v>307</v>
      </c>
      <c r="D84" s="6"/>
      <c r="E84" s="6" t="s">
        <v>307</v>
      </c>
      <c r="F84" s="6" t="s">
        <v>307</v>
      </c>
      <c r="G84" s="6"/>
      <c r="H84" s="6" t="s">
        <v>307</v>
      </c>
      <c r="I84" s="6"/>
      <c r="J84" s="6"/>
    </row>
    <row r="85" spans="1:10" hidden="1" x14ac:dyDescent="0.45">
      <c r="A85" s="5"/>
      <c r="B85" s="5" t="s">
        <v>362</v>
      </c>
      <c r="C85" s="5" t="s">
        <v>307</v>
      </c>
      <c r="D85" s="5" t="s">
        <v>307</v>
      </c>
      <c r="E85" s="5"/>
      <c r="F85" s="5" t="s">
        <v>307</v>
      </c>
      <c r="G85" s="5"/>
      <c r="H85" s="5" t="s">
        <v>307</v>
      </c>
      <c r="I85" s="5"/>
      <c r="J85" s="5" t="s">
        <v>618</v>
      </c>
    </row>
    <row r="86" spans="1:10" hidden="1" x14ac:dyDescent="0.45">
      <c r="A86" s="6"/>
      <c r="B86" s="6" t="s">
        <v>265</v>
      </c>
      <c r="C86" s="6" t="s">
        <v>307</v>
      </c>
      <c r="D86" s="6"/>
      <c r="E86" s="6" t="s">
        <v>307</v>
      </c>
      <c r="F86" s="6" t="s">
        <v>307</v>
      </c>
      <c r="G86" s="6"/>
      <c r="H86" s="6" t="s">
        <v>307</v>
      </c>
      <c r="I86" s="6"/>
      <c r="J86" s="6"/>
    </row>
    <row r="87" spans="1:10" x14ac:dyDescent="0.45">
      <c r="A87" s="5"/>
      <c r="B87" s="5" t="s">
        <v>282</v>
      </c>
      <c r="C87" s="5"/>
      <c r="D87" s="5" t="s">
        <v>307</v>
      </c>
      <c r="E87" s="5" t="s">
        <v>307</v>
      </c>
      <c r="F87" s="5" t="s">
        <v>307</v>
      </c>
      <c r="G87" s="5"/>
      <c r="H87" s="5"/>
      <c r="I87" s="5" t="s">
        <v>307</v>
      </c>
      <c r="J87" s="5"/>
    </row>
    <row r="88" spans="1:10" hidden="1" x14ac:dyDescent="0.45">
      <c r="A88" s="6"/>
      <c r="B88" s="6" t="s">
        <v>296</v>
      </c>
      <c r="C88" s="6"/>
      <c r="D88" s="6"/>
      <c r="E88" s="6"/>
      <c r="F88" s="6"/>
      <c r="G88" s="6"/>
      <c r="H88" s="6" t="s">
        <v>307</v>
      </c>
      <c r="I88" s="6"/>
      <c r="J88" s="6" t="s">
        <v>308</v>
      </c>
    </row>
    <row r="89" spans="1:10" x14ac:dyDescent="0.45">
      <c r="A89" s="5"/>
      <c r="B89" s="5" t="s">
        <v>257</v>
      </c>
      <c r="C89" s="5" t="s">
        <v>307</v>
      </c>
      <c r="D89" s="5" t="s">
        <v>307</v>
      </c>
      <c r="E89" s="5"/>
      <c r="F89" s="5" t="s">
        <v>307</v>
      </c>
      <c r="G89" s="5"/>
      <c r="H89" s="5"/>
      <c r="I89" s="5" t="s">
        <v>307</v>
      </c>
      <c r="J89" s="5"/>
    </row>
    <row r="90" spans="1:10" hidden="1" x14ac:dyDescent="0.45">
      <c r="A90" s="6"/>
      <c r="B90" s="6" t="s">
        <v>272</v>
      </c>
      <c r="C90" s="6" t="s">
        <v>307</v>
      </c>
      <c r="D90" s="6"/>
      <c r="E90" s="6" t="s">
        <v>307</v>
      </c>
      <c r="F90" s="6" t="s">
        <v>307</v>
      </c>
      <c r="G90" s="6"/>
      <c r="H90" s="6" t="s">
        <v>307</v>
      </c>
      <c r="I90" s="6"/>
      <c r="J90" s="6"/>
    </row>
    <row r="91" spans="1:10" hidden="1" x14ac:dyDescent="0.45">
      <c r="A91" s="6"/>
      <c r="B91" s="6" t="s">
        <v>294</v>
      </c>
      <c r="C91" s="6"/>
      <c r="D91" s="6"/>
      <c r="E91" s="6"/>
      <c r="F91" s="6"/>
      <c r="G91" s="6"/>
      <c r="H91" s="6" t="s">
        <v>307</v>
      </c>
      <c r="I91" s="6"/>
      <c r="J91" s="6" t="s">
        <v>308</v>
      </c>
    </row>
    <row r="92" spans="1:10" hidden="1" x14ac:dyDescent="0.45">
      <c r="A92" s="5"/>
      <c r="B92" s="5" t="s">
        <v>304</v>
      </c>
      <c r="C92" s="5" t="s">
        <v>307</v>
      </c>
      <c r="D92" s="5"/>
      <c r="E92" s="5" t="s">
        <v>307</v>
      </c>
      <c r="F92" s="5" t="s">
        <v>307</v>
      </c>
      <c r="G92" s="5"/>
      <c r="H92" s="5" t="s">
        <v>307</v>
      </c>
      <c r="I92" s="5"/>
      <c r="J92" s="5"/>
    </row>
    <row r="93" spans="1:10" x14ac:dyDescent="0.45">
      <c r="A93" s="5"/>
      <c r="B93" s="5" t="s">
        <v>301</v>
      </c>
      <c r="C93" s="5" t="s">
        <v>307</v>
      </c>
      <c r="D93" s="5"/>
      <c r="E93" s="5" t="s">
        <v>307</v>
      </c>
      <c r="F93" s="5" t="s">
        <v>307</v>
      </c>
      <c r="G93" s="5"/>
      <c r="H93" s="5"/>
      <c r="I93" s="5" t="s">
        <v>307</v>
      </c>
      <c r="J93" s="5"/>
    </row>
    <row r="94" spans="1:10" hidden="1" x14ac:dyDescent="0.45">
      <c r="A94" s="6"/>
      <c r="B94" s="6" t="s">
        <v>72</v>
      </c>
      <c r="C94" s="6"/>
      <c r="D94" s="6"/>
      <c r="E94" s="6"/>
      <c r="F94" s="6"/>
      <c r="G94" s="6"/>
      <c r="H94" s="6" t="s">
        <v>307</v>
      </c>
      <c r="I94" s="6"/>
      <c r="J94" s="6" t="s">
        <v>308</v>
      </c>
    </row>
    <row r="95" spans="1:10" hidden="1" x14ac:dyDescent="0.45">
      <c r="A95" s="6"/>
      <c r="B95" s="6" t="s">
        <v>295</v>
      </c>
      <c r="C95" s="6"/>
      <c r="D95" s="6"/>
      <c r="E95" s="6"/>
      <c r="F95" s="6"/>
      <c r="G95" s="6"/>
      <c r="H95" s="6" t="s">
        <v>307</v>
      </c>
      <c r="I95" s="6"/>
      <c r="J95" s="6" t="s">
        <v>308</v>
      </c>
    </row>
    <row r="96" spans="1:10" x14ac:dyDescent="0.45">
      <c r="A96" s="5" t="s">
        <v>754</v>
      </c>
      <c r="B96" s="5" t="s">
        <v>62</v>
      </c>
      <c r="C96" s="5" t="s">
        <v>307</v>
      </c>
      <c r="D96" s="5"/>
      <c r="E96" s="5" t="s">
        <v>307</v>
      </c>
      <c r="F96" s="5" t="s">
        <v>307</v>
      </c>
      <c r="G96" s="5"/>
      <c r="H96" s="5"/>
      <c r="I96" s="5" t="s">
        <v>307</v>
      </c>
      <c r="J96" s="5"/>
    </row>
    <row r="97" spans="1:10" x14ac:dyDescent="0.45">
      <c r="A97" s="6"/>
      <c r="B97" s="6" t="s">
        <v>293</v>
      </c>
      <c r="C97" s="6" t="s">
        <v>307</v>
      </c>
      <c r="D97" s="6"/>
      <c r="E97" s="6" t="s">
        <v>307</v>
      </c>
      <c r="F97" s="6" t="s">
        <v>307</v>
      </c>
      <c r="G97" s="6"/>
      <c r="H97" s="6"/>
      <c r="I97" s="6" t="s">
        <v>307</v>
      </c>
      <c r="J97" s="6"/>
    </row>
    <row r="98" spans="1:10" hidden="1" x14ac:dyDescent="0.45">
      <c r="A98" s="17" t="s">
        <v>320</v>
      </c>
      <c r="B98" s="17" t="s">
        <v>299</v>
      </c>
      <c r="C98" s="17" t="s">
        <v>307</v>
      </c>
      <c r="D98" s="17" t="s">
        <v>307</v>
      </c>
      <c r="E98" s="17" t="s">
        <v>307</v>
      </c>
      <c r="F98" s="17" t="s">
        <v>307</v>
      </c>
      <c r="G98" s="17"/>
      <c r="H98" s="17"/>
      <c r="I98" s="17"/>
      <c r="J98" s="17"/>
    </row>
    <row r="99" spans="1:10" hidden="1" x14ac:dyDescent="0.45">
      <c r="A99" s="5"/>
      <c r="B99" s="5" t="s">
        <v>256</v>
      </c>
      <c r="C99" s="5" t="s">
        <v>307</v>
      </c>
      <c r="D99" s="5" t="s">
        <v>307</v>
      </c>
      <c r="E99" s="5"/>
      <c r="F99" s="5" t="s">
        <v>307</v>
      </c>
      <c r="G99" s="5"/>
      <c r="H99" s="5" t="s">
        <v>307</v>
      </c>
      <c r="I99" s="5"/>
      <c r="J99" s="5"/>
    </row>
    <row r="100" spans="1:10" hidden="1" x14ac:dyDescent="0.45">
      <c r="A100" s="6"/>
      <c r="B100" s="6" t="s">
        <v>300</v>
      </c>
      <c r="C100" s="6" t="s">
        <v>307</v>
      </c>
      <c r="D100" s="6"/>
      <c r="E100" s="6" t="s">
        <v>307</v>
      </c>
      <c r="F100" s="6" t="s">
        <v>307</v>
      </c>
      <c r="G100" s="6"/>
      <c r="H100" s="6" t="s">
        <v>307</v>
      </c>
      <c r="I100" s="6"/>
      <c r="J100" s="6"/>
    </row>
    <row r="101" spans="1:10" hidden="1" x14ac:dyDescent="0.45">
      <c r="A101" s="6"/>
      <c r="B101" s="6" t="s">
        <v>255</v>
      </c>
      <c r="C101" s="6" t="s">
        <v>307</v>
      </c>
      <c r="D101" s="6"/>
      <c r="E101" s="6" t="s">
        <v>307</v>
      </c>
      <c r="F101" s="6" t="s">
        <v>307</v>
      </c>
      <c r="G101" s="6"/>
      <c r="H101" s="6" t="s">
        <v>307</v>
      </c>
      <c r="I101" s="6"/>
      <c r="J101" s="6"/>
    </row>
    <row r="102" spans="1:10" hidden="1" x14ac:dyDescent="0.45">
      <c r="A102" s="6"/>
      <c r="B102" s="6" t="s">
        <v>363</v>
      </c>
      <c r="C102" s="6" t="s">
        <v>307</v>
      </c>
      <c r="D102" s="6"/>
      <c r="E102" s="6" t="s">
        <v>307</v>
      </c>
      <c r="F102" s="6" t="s">
        <v>307</v>
      </c>
      <c r="G102" s="6"/>
      <c r="H102" s="6" t="s">
        <v>307</v>
      </c>
      <c r="I102" s="6"/>
      <c r="J102" s="6"/>
    </row>
    <row r="103" spans="1:10" hidden="1" x14ac:dyDescent="0.45">
      <c r="A103" s="5"/>
      <c r="B103" s="5" t="s">
        <v>364</v>
      </c>
      <c r="C103" s="5" t="s">
        <v>307</v>
      </c>
      <c r="D103" s="5" t="s">
        <v>307</v>
      </c>
      <c r="E103" s="5"/>
      <c r="F103" s="5" t="s">
        <v>307</v>
      </c>
      <c r="G103" s="5"/>
      <c r="H103" s="5" t="s">
        <v>307</v>
      </c>
      <c r="I103" s="5"/>
      <c r="J103" s="5"/>
    </row>
    <row r="104" spans="1:10" hidden="1" x14ac:dyDescent="0.45">
      <c r="A104" s="16" t="s">
        <v>96</v>
      </c>
      <c r="B104" s="16" t="s">
        <v>70</v>
      </c>
      <c r="C104" s="16" t="s">
        <v>307</v>
      </c>
      <c r="D104" s="16" t="s">
        <v>307</v>
      </c>
      <c r="E104" s="16" t="s">
        <v>307</v>
      </c>
      <c r="F104" s="16" t="s">
        <v>307</v>
      </c>
      <c r="G104" s="16"/>
      <c r="H104" s="16"/>
      <c r="I104" s="16"/>
      <c r="J104" s="16"/>
    </row>
    <row r="105" spans="1:10" hidden="1" x14ac:dyDescent="0.45">
      <c r="A105" s="6"/>
      <c r="B105" s="6" t="s">
        <v>365</v>
      </c>
      <c r="C105" s="6" t="s">
        <v>307</v>
      </c>
      <c r="D105" s="6"/>
      <c r="E105" s="6" t="s">
        <v>307</v>
      </c>
      <c r="F105" s="6" t="s">
        <v>307</v>
      </c>
      <c r="G105" s="6"/>
      <c r="H105" s="6" t="s">
        <v>307</v>
      </c>
      <c r="I105" s="6"/>
      <c r="J105" s="6"/>
    </row>
    <row r="106" spans="1:10" hidden="1" x14ac:dyDescent="0.45">
      <c r="A106" s="5"/>
      <c r="B106" s="5" t="s">
        <v>298</v>
      </c>
      <c r="C106" s="5" t="s">
        <v>307</v>
      </c>
      <c r="D106" s="5" t="s">
        <v>307</v>
      </c>
      <c r="E106" s="5"/>
      <c r="F106" s="5" t="s">
        <v>307</v>
      </c>
      <c r="G106" s="5"/>
      <c r="H106" s="5" t="s">
        <v>307</v>
      </c>
      <c r="I106" s="5"/>
      <c r="J106" s="5"/>
    </row>
    <row r="107" spans="1:10" hidden="1" x14ac:dyDescent="0.45">
      <c r="A107" s="16" t="s">
        <v>776</v>
      </c>
      <c r="B107" s="16" t="s">
        <v>262</v>
      </c>
      <c r="C107" s="16" t="s">
        <v>307</v>
      </c>
      <c r="D107" s="16" t="s">
        <v>307</v>
      </c>
      <c r="E107" s="16" t="s">
        <v>307</v>
      </c>
      <c r="F107" s="16" t="s">
        <v>307</v>
      </c>
      <c r="G107" s="16"/>
      <c r="H107" s="16"/>
      <c r="I107" s="16"/>
      <c r="J107" s="16"/>
    </row>
    <row r="108" spans="1:10" hidden="1" x14ac:dyDescent="0.45">
      <c r="A108" s="5"/>
      <c r="B108" s="5" t="s">
        <v>276</v>
      </c>
      <c r="C108" s="5" t="s">
        <v>307</v>
      </c>
      <c r="D108" s="5" t="s">
        <v>307</v>
      </c>
      <c r="E108" s="5"/>
      <c r="F108" s="5" t="s">
        <v>307</v>
      </c>
      <c r="G108" s="5"/>
      <c r="H108" s="5" t="s">
        <v>307</v>
      </c>
      <c r="I108" s="5"/>
      <c r="J108" s="5" t="s">
        <v>618</v>
      </c>
    </row>
    <row r="109" spans="1:10" hidden="1" x14ac:dyDescent="0.45">
      <c r="A109" s="6"/>
      <c r="B109" s="6" t="s">
        <v>275</v>
      </c>
      <c r="C109" s="6"/>
      <c r="D109" s="6" t="s">
        <v>307</v>
      </c>
      <c r="E109" s="6" t="s">
        <v>307</v>
      </c>
      <c r="F109" s="6" t="s">
        <v>307</v>
      </c>
      <c r="G109" s="6"/>
      <c r="H109" s="6" t="s">
        <v>307</v>
      </c>
      <c r="I109" s="6"/>
      <c r="J109" s="6" t="s">
        <v>618</v>
      </c>
    </row>
    <row r="110" spans="1:10" hidden="1" x14ac:dyDescent="0.45">
      <c r="A110" s="5"/>
      <c r="B110" s="5" t="s">
        <v>88</v>
      </c>
      <c r="C110" s="5" t="s">
        <v>307</v>
      </c>
      <c r="D110" s="5"/>
      <c r="E110" s="5"/>
      <c r="F110" s="5" t="s">
        <v>307</v>
      </c>
      <c r="G110" s="5"/>
      <c r="H110" s="5" t="s">
        <v>307</v>
      </c>
      <c r="I110" s="5"/>
      <c r="J110" s="5"/>
    </row>
    <row r="111" spans="1:10" x14ac:dyDescent="0.45">
      <c r="A111" s="5"/>
      <c r="B111" s="5" t="s">
        <v>73</v>
      </c>
      <c r="C111" s="5" t="s">
        <v>307</v>
      </c>
      <c r="D111" s="5" t="s">
        <v>307</v>
      </c>
      <c r="E111" s="5"/>
      <c r="F111" s="5" t="s">
        <v>307</v>
      </c>
      <c r="G111" s="5"/>
      <c r="H111" s="5"/>
      <c r="I111" s="5" t="s">
        <v>307</v>
      </c>
      <c r="J111" s="5"/>
    </row>
    <row r="112" spans="1:10" hidden="1" x14ac:dyDescent="0.45">
      <c r="A112" s="6"/>
      <c r="B112" s="6" t="s">
        <v>283</v>
      </c>
      <c r="C112" s="6" t="s">
        <v>307</v>
      </c>
      <c r="D112" s="6"/>
      <c r="E112" s="6" t="s">
        <v>307</v>
      </c>
      <c r="F112" s="6" t="s">
        <v>307</v>
      </c>
      <c r="G112" s="6"/>
      <c r="H112" s="6" t="s">
        <v>307</v>
      </c>
      <c r="I112" s="6"/>
      <c r="J112" s="6"/>
    </row>
    <row r="113" spans="1:10" hidden="1" x14ac:dyDescent="0.45">
      <c r="A113" s="16" t="s">
        <v>101</v>
      </c>
      <c r="B113" s="16" t="s">
        <v>66</v>
      </c>
      <c r="C113" s="16" t="s">
        <v>307</v>
      </c>
      <c r="D113" s="16" t="s">
        <v>307</v>
      </c>
      <c r="E113" s="16" t="s">
        <v>307</v>
      </c>
      <c r="F113" s="16" t="s">
        <v>307</v>
      </c>
      <c r="G113" s="16"/>
      <c r="H113" s="16"/>
      <c r="I113" s="16"/>
      <c r="J113" s="16"/>
    </row>
    <row r="114" spans="1:10" hidden="1" x14ac:dyDescent="0.45">
      <c r="A114" s="16" t="s">
        <v>317</v>
      </c>
      <c r="B114" s="16" t="s">
        <v>267</v>
      </c>
      <c r="C114" s="16" t="s">
        <v>307</v>
      </c>
      <c r="D114" s="16" t="s">
        <v>307</v>
      </c>
      <c r="E114" s="16" t="s">
        <v>307</v>
      </c>
      <c r="F114" s="16" t="s">
        <v>307</v>
      </c>
      <c r="G114" s="16"/>
      <c r="H114" s="16"/>
      <c r="I114" s="16"/>
      <c r="J114" s="16"/>
    </row>
    <row r="115" spans="1:10" hidden="1" x14ac:dyDescent="0.45">
      <c r="A115" s="6"/>
      <c r="B115" s="6" t="s">
        <v>273</v>
      </c>
      <c r="C115" s="6"/>
      <c r="D115" s="6" t="s">
        <v>307</v>
      </c>
      <c r="E115" s="6" t="s">
        <v>307</v>
      </c>
      <c r="F115" s="6" t="s">
        <v>307</v>
      </c>
      <c r="G115" s="6"/>
      <c r="H115" s="6" t="s">
        <v>307</v>
      </c>
      <c r="I115" s="6"/>
      <c r="J115" s="6"/>
    </row>
    <row r="116" spans="1:10" hidden="1" x14ac:dyDescent="0.45">
      <c r="A116" s="6"/>
      <c r="B116" s="6" t="s">
        <v>263</v>
      </c>
      <c r="C116" s="6" t="s">
        <v>307</v>
      </c>
      <c r="D116" s="6"/>
      <c r="E116" s="6" t="s">
        <v>307</v>
      </c>
      <c r="F116" s="6" t="s">
        <v>307</v>
      </c>
      <c r="G116" s="6"/>
      <c r="H116" s="6" t="s">
        <v>307</v>
      </c>
      <c r="I116" s="6"/>
      <c r="J116" s="6"/>
    </row>
    <row r="117" spans="1:10" hidden="1" x14ac:dyDescent="0.45">
      <c r="A117" s="6"/>
      <c r="B117" s="6" t="s">
        <v>279</v>
      </c>
      <c r="C117" s="6" t="s">
        <v>307</v>
      </c>
      <c r="D117" s="6"/>
      <c r="E117" s="6" t="s">
        <v>307</v>
      </c>
      <c r="F117" s="6" t="s">
        <v>307</v>
      </c>
      <c r="G117" s="6"/>
      <c r="H117" s="6" t="s">
        <v>307</v>
      </c>
      <c r="I117" s="6"/>
      <c r="J117" s="6"/>
    </row>
    <row r="118" spans="1:10" x14ac:dyDescent="0.45">
      <c r="A118" s="5"/>
      <c r="B118" s="5" t="s">
        <v>68</v>
      </c>
      <c r="C118" s="5" t="s">
        <v>307</v>
      </c>
      <c r="D118" s="5"/>
      <c r="E118" s="5" t="s">
        <v>307</v>
      </c>
      <c r="F118" s="5" t="s">
        <v>307</v>
      </c>
      <c r="G118" s="5"/>
      <c r="H118" s="5"/>
      <c r="I118" s="5" t="s">
        <v>307</v>
      </c>
      <c r="J118" s="5"/>
    </row>
    <row r="119" spans="1:10" hidden="1" x14ac:dyDescent="0.45">
      <c r="A119" s="6"/>
      <c r="B119" s="6" t="s">
        <v>261</v>
      </c>
      <c r="C119" s="6"/>
      <c r="D119" s="6" t="s">
        <v>307</v>
      </c>
      <c r="E119" s="6" t="s">
        <v>307</v>
      </c>
      <c r="F119" s="6" t="s">
        <v>307</v>
      </c>
      <c r="G119" s="6"/>
      <c r="H119" s="6" t="s">
        <v>307</v>
      </c>
      <c r="I119" s="6"/>
      <c r="J119" s="6"/>
    </row>
    <row r="120" spans="1:10" hidden="1" x14ac:dyDescent="0.45">
      <c r="A120" s="6"/>
      <c r="B120" s="6" t="s">
        <v>266</v>
      </c>
      <c r="C120" s="6"/>
      <c r="D120" s="6" t="s">
        <v>307</v>
      </c>
      <c r="E120" s="6" t="s">
        <v>307</v>
      </c>
      <c r="F120" s="6" t="s">
        <v>307</v>
      </c>
      <c r="G120" s="6"/>
      <c r="H120" s="6" t="s">
        <v>307</v>
      </c>
      <c r="I120" s="6"/>
      <c r="J120" s="6"/>
    </row>
    <row r="121" spans="1:10" hidden="1" x14ac:dyDescent="0.45">
      <c r="A121" s="6"/>
      <c r="B121" s="6" t="s">
        <v>291</v>
      </c>
      <c r="C121" s="6" t="s">
        <v>307</v>
      </c>
      <c r="D121" s="6"/>
      <c r="E121" s="6" t="s">
        <v>307</v>
      </c>
      <c r="F121" s="6" t="s">
        <v>307</v>
      </c>
      <c r="G121" s="6"/>
      <c r="H121" s="6" t="s">
        <v>307</v>
      </c>
      <c r="I121" s="6"/>
      <c r="J121" s="6"/>
    </row>
    <row r="122" spans="1:10" hidden="1" x14ac:dyDescent="0.45">
      <c r="A122" s="6"/>
      <c r="B122" s="6" t="s">
        <v>258</v>
      </c>
      <c r="C122" s="6"/>
      <c r="D122" s="6" t="s">
        <v>307</v>
      </c>
      <c r="E122" s="6" t="s">
        <v>307</v>
      </c>
      <c r="F122" s="6" t="s">
        <v>307</v>
      </c>
      <c r="G122" s="6"/>
      <c r="H122" s="6" t="s">
        <v>307</v>
      </c>
      <c r="I122" s="6"/>
      <c r="J122" s="6"/>
    </row>
    <row r="123" spans="1:10" hidden="1" x14ac:dyDescent="0.45">
      <c r="A123" s="6"/>
      <c r="B123" s="6" t="s">
        <v>287</v>
      </c>
      <c r="C123" s="6" t="s">
        <v>307</v>
      </c>
      <c r="D123" s="6"/>
      <c r="E123" s="6" t="s">
        <v>307</v>
      </c>
      <c r="F123" s="6" t="s">
        <v>307</v>
      </c>
      <c r="G123" s="6"/>
      <c r="H123" s="6" t="s">
        <v>307</v>
      </c>
      <c r="I123" s="6"/>
      <c r="J123" s="6"/>
    </row>
    <row r="124" spans="1:10" hidden="1" x14ac:dyDescent="0.45">
      <c r="A124" s="6"/>
      <c r="B124" s="6" t="s">
        <v>280</v>
      </c>
      <c r="C124" s="6" t="s">
        <v>307</v>
      </c>
      <c r="D124" s="6"/>
      <c r="E124" s="6" t="s">
        <v>307</v>
      </c>
      <c r="F124" s="6" t="s">
        <v>307</v>
      </c>
      <c r="G124" s="6"/>
      <c r="H124" s="6" t="s">
        <v>307</v>
      </c>
      <c r="I124" s="6"/>
      <c r="J124" s="6"/>
    </row>
    <row r="125" spans="1:10" hidden="1" x14ac:dyDescent="0.45">
      <c r="A125" s="6"/>
      <c r="B125" s="6" t="s">
        <v>270</v>
      </c>
      <c r="C125" s="6" t="s">
        <v>307</v>
      </c>
      <c r="D125" s="6"/>
      <c r="E125" s="6" t="s">
        <v>307</v>
      </c>
      <c r="F125" s="6" t="s">
        <v>307</v>
      </c>
      <c r="G125" s="6"/>
      <c r="H125" s="6" t="s">
        <v>307</v>
      </c>
      <c r="I125" s="6"/>
      <c r="J125" s="6"/>
    </row>
    <row r="126" spans="1:10" hidden="1" x14ac:dyDescent="0.45">
      <c r="A126" s="6"/>
      <c r="B126" s="6" t="s">
        <v>290</v>
      </c>
      <c r="C126" s="6"/>
      <c r="D126" s="8" t="s">
        <v>307</v>
      </c>
      <c r="E126" s="8" t="s">
        <v>307</v>
      </c>
      <c r="F126" s="8" t="s">
        <v>307</v>
      </c>
      <c r="G126" s="6"/>
      <c r="H126" s="6" t="s">
        <v>307</v>
      </c>
      <c r="I126" s="6"/>
      <c r="J126" s="6"/>
    </row>
    <row r="127" spans="1:10" hidden="1" x14ac:dyDescent="0.45">
      <c r="A127" s="6"/>
      <c r="B127" s="6" t="s">
        <v>268</v>
      </c>
      <c r="C127" s="6" t="s">
        <v>307</v>
      </c>
      <c r="D127" s="6"/>
      <c r="E127" s="6" t="s">
        <v>307</v>
      </c>
      <c r="F127" s="6" t="s">
        <v>307</v>
      </c>
      <c r="G127" s="6"/>
      <c r="H127" s="6" t="s">
        <v>307</v>
      </c>
      <c r="I127" s="6"/>
      <c r="J127" s="6"/>
    </row>
    <row r="128" spans="1:10" hidden="1" x14ac:dyDescent="0.45">
      <c r="A128" s="6"/>
      <c r="B128" s="6" t="s">
        <v>76</v>
      </c>
      <c r="C128" s="6" t="s">
        <v>307</v>
      </c>
      <c r="D128" s="6" t="s">
        <v>307</v>
      </c>
      <c r="E128" s="6"/>
      <c r="F128" s="6" t="s">
        <v>307</v>
      </c>
      <c r="G128" s="6"/>
      <c r="H128" s="6" t="s">
        <v>307</v>
      </c>
      <c r="I128" s="6"/>
      <c r="J128" s="6"/>
    </row>
    <row r="129" spans="1:10" hidden="1" x14ac:dyDescent="0.45">
      <c r="A129" s="6"/>
      <c r="B129" s="6" t="s">
        <v>67</v>
      </c>
      <c r="C129" s="6" t="s">
        <v>307</v>
      </c>
      <c r="D129" s="6"/>
      <c r="E129" s="6" t="s">
        <v>307</v>
      </c>
      <c r="F129" s="6" t="s">
        <v>307</v>
      </c>
      <c r="G129" s="6"/>
      <c r="H129" s="6" t="s">
        <v>307</v>
      </c>
      <c r="I129" s="6"/>
      <c r="J129" s="6"/>
    </row>
    <row r="130" spans="1:10" hidden="1" x14ac:dyDescent="0.45">
      <c r="A130" s="16" t="s">
        <v>95</v>
      </c>
      <c r="B130" s="16" t="s">
        <v>65</v>
      </c>
      <c r="C130" s="16" t="s">
        <v>307</v>
      </c>
      <c r="D130" s="16" t="s">
        <v>307</v>
      </c>
      <c r="E130" s="16" t="s">
        <v>307</v>
      </c>
      <c r="F130" s="16" t="s">
        <v>307</v>
      </c>
      <c r="G130" s="16"/>
      <c r="H130" s="16"/>
      <c r="I130" s="16"/>
      <c r="J130" s="16"/>
    </row>
    <row r="131" spans="1:10" hidden="1" x14ac:dyDescent="0.45">
      <c r="A131" s="6"/>
      <c r="B131" s="6" t="s">
        <v>269</v>
      </c>
      <c r="C131" s="6"/>
      <c r="D131" s="6" t="s">
        <v>307</v>
      </c>
      <c r="E131" s="6" t="s">
        <v>307</v>
      </c>
      <c r="F131" s="6" t="s">
        <v>307</v>
      </c>
      <c r="G131" s="6"/>
      <c r="H131" s="6" t="s">
        <v>307</v>
      </c>
      <c r="I131" s="6"/>
      <c r="J131" s="6"/>
    </row>
    <row r="132" spans="1:10" hidden="1" x14ac:dyDescent="0.45">
      <c r="A132" s="6"/>
      <c r="B132" s="6" t="s">
        <v>259</v>
      </c>
      <c r="C132" s="6" t="s">
        <v>307</v>
      </c>
      <c r="D132" s="6" t="s">
        <v>307</v>
      </c>
      <c r="E132" s="6"/>
      <c r="F132" s="6" t="s">
        <v>307</v>
      </c>
      <c r="G132" s="6"/>
      <c r="H132" s="6" t="s">
        <v>307</v>
      </c>
      <c r="I132" s="6"/>
      <c r="J132" s="6" t="s">
        <v>825</v>
      </c>
    </row>
    <row r="133" spans="1:10" hidden="1" x14ac:dyDescent="0.45">
      <c r="A133" s="6"/>
      <c r="B133" s="6" t="s">
        <v>277</v>
      </c>
      <c r="C133" s="6" t="s">
        <v>307</v>
      </c>
      <c r="D133" s="6"/>
      <c r="E133" s="6" t="s">
        <v>307</v>
      </c>
      <c r="F133" s="6" t="s">
        <v>307</v>
      </c>
      <c r="G133" s="6"/>
      <c r="H133" s="6" t="s">
        <v>307</v>
      </c>
      <c r="I133" s="6"/>
      <c r="J133" s="6" t="s">
        <v>827</v>
      </c>
    </row>
    <row r="134" spans="1:10" hidden="1" x14ac:dyDescent="0.45">
      <c r="A134" s="6"/>
      <c r="B134" s="6" t="s">
        <v>285</v>
      </c>
      <c r="C134" s="6" t="s">
        <v>307</v>
      </c>
      <c r="D134" s="6"/>
      <c r="E134" s="6" t="s">
        <v>307</v>
      </c>
      <c r="F134" s="6" t="s">
        <v>307</v>
      </c>
      <c r="G134" s="6"/>
      <c r="H134" s="6" t="s">
        <v>307</v>
      </c>
      <c r="I134" s="6"/>
      <c r="J134" s="6"/>
    </row>
    <row r="135" spans="1:10" hidden="1" x14ac:dyDescent="0.45">
      <c r="A135" s="6"/>
      <c r="B135" s="6" t="s">
        <v>366</v>
      </c>
      <c r="C135" s="6"/>
      <c r="D135" s="6"/>
      <c r="E135" s="6"/>
      <c r="F135" s="6"/>
      <c r="G135" s="6"/>
      <c r="H135" s="6" t="s">
        <v>307</v>
      </c>
      <c r="I135" s="6"/>
      <c r="J135" s="6" t="s">
        <v>308</v>
      </c>
    </row>
    <row r="136" spans="1:10" hidden="1" x14ac:dyDescent="0.45">
      <c r="A136" s="6"/>
      <c r="B136" s="6" t="s">
        <v>60</v>
      </c>
      <c r="C136" s="6"/>
      <c r="D136" s="6" t="s">
        <v>307</v>
      </c>
      <c r="E136" s="6" t="s">
        <v>307</v>
      </c>
      <c r="F136" s="6" t="s">
        <v>307</v>
      </c>
      <c r="G136" s="6"/>
      <c r="H136" s="6" t="s">
        <v>307</v>
      </c>
      <c r="I136" s="6"/>
      <c r="J136" s="6"/>
    </row>
    <row r="137" spans="1:10" hidden="1" x14ac:dyDescent="0.45">
      <c r="A137" s="6"/>
      <c r="B137" s="6" t="s">
        <v>71</v>
      </c>
      <c r="C137" s="6" t="s">
        <v>307</v>
      </c>
      <c r="D137" s="6"/>
      <c r="E137" s="6" t="s">
        <v>307</v>
      </c>
      <c r="F137" s="6" t="s">
        <v>307</v>
      </c>
      <c r="G137" s="6"/>
      <c r="H137" s="6" t="s">
        <v>307</v>
      </c>
      <c r="I137" s="6"/>
      <c r="J137" s="6"/>
    </row>
    <row r="138" spans="1:10" hidden="1" x14ac:dyDescent="0.45">
      <c r="A138" s="6"/>
      <c r="B138" s="6" t="s">
        <v>271</v>
      </c>
      <c r="C138" s="6"/>
      <c r="D138" s="6" t="s">
        <v>307</v>
      </c>
      <c r="E138" s="6" t="s">
        <v>307</v>
      </c>
      <c r="F138" s="6" t="s">
        <v>307</v>
      </c>
      <c r="G138" s="6"/>
      <c r="H138" s="6" t="s">
        <v>307</v>
      </c>
      <c r="I138" s="6"/>
      <c r="J138" s="6"/>
    </row>
    <row r="139" spans="1:10" hidden="1" x14ac:dyDescent="0.45">
      <c r="A139" s="6"/>
      <c r="B139" s="6" t="s">
        <v>292</v>
      </c>
      <c r="C139" s="6"/>
      <c r="D139" s="6" t="s">
        <v>307</v>
      </c>
      <c r="E139" s="6" t="s">
        <v>307</v>
      </c>
      <c r="F139" s="6" t="s">
        <v>307</v>
      </c>
      <c r="G139" s="6"/>
      <c r="H139" s="6" t="s">
        <v>307</v>
      </c>
      <c r="I139" s="6"/>
      <c r="J139" s="6"/>
    </row>
    <row r="140" spans="1:10" x14ac:dyDescent="0.45">
      <c r="A140" s="5"/>
      <c r="B140" s="5" t="s">
        <v>289</v>
      </c>
      <c r="C140" s="5" t="s">
        <v>307</v>
      </c>
      <c r="D140" s="5"/>
      <c r="E140" s="5" t="s">
        <v>307</v>
      </c>
      <c r="F140" s="5" t="s">
        <v>307</v>
      </c>
      <c r="G140" s="5"/>
      <c r="H140" s="5"/>
      <c r="I140" s="5" t="s">
        <v>307</v>
      </c>
      <c r="J140" s="5"/>
    </row>
    <row r="141" spans="1:10" x14ac:dyDescent="0.45">
      <c r="A141" s="5"/>
      <c r="B141" s="5" t="s">
        <v>367</v>
      </c>
      <c r="C141" s="5" t="s">
        <v>307</v>
      </c>
      <c r="D141" s="5"/>
      <c r="E141" s="5" t="s">
        <v>307</v>
      </c>
      <c r="F141" s="5" t="s">
        <v>307</v>
      </c>
      <c r="G141" s="5"/>
      <c r="H141" s="5"/>
      <c r="I141" s="5" t="s">
        <v>307</v>
      </c>
      <c r="J141" s="5"/>
    </row>
    <row r="142" spans="1:10" hidden="1" x14ac:dyDescent="0.45">
      <c r="A142" s="6"/>
      <c r="B142" s="6" t="s">
        <v>278</v>
      </c>
      <c r="C142" s="6" t="s">
        <v>307</v>
      </c>
      <c r="D142" s="6"/>
      <c r="E142" s="6" t="s">
        <v>307</v>
      </c>
      <c r="F142" s="6" t="s">
        <v>307</v>
      </c>
      <c r="G142" s="6"/>
      <c r="H142" s="6" t="s">
        <v>307</v>
      </c>
      <c r="I142" s="6"/>
      <c r="J142" s="6"/>
    </row>
    <row r="143" spans="1:10" hidden="1" x14ac:dyDescent="0.45">
      <c r="A143" s="16" t="s">
        <v>322</v>
      </c>
      <c r="B143" s="16" t="s">
        <v>368</v>
      </c>
      <c r="C143" s="16" t="s">
        <v>307</v>
      </c>
      <c r="D143" s="16" t="s">
        <v>307</v>
      </c>
      <c r="E143" s="16" t="s">
        <v>307</v>
      </c>
      <c r="F143" s="16" t="s">
        <v>307</v>
      </c>
      <c r="G143" s="16"/>
      <c r="H143" s="16"/>
      <c r="I143" s="16"/>
      <c r="J143" s="16"/>
    </row>
    <row r="144" spans="1:10" hidden="1" x14ac:dyDescent="0.45">
      <c r="A144" s="6"/>
      <c r="B144" s="6" t="s">
        <v>369</v>
      </c>
      <c r="C144" s="6" t="s">
        <v>307</v>
      </c>
      <c r="D144" s="6"/>
      <c r="E144" s="6"/>
      <c r="F144" s="6" t="s">
        <v>307</v>
      </c>
      <c r="G144" s="6"/>
      <c r="H144" s="6" t="s">
        <v>307</v>
      </c>
      <c r="I144" s="6"/>
      <c r="J144" s="6"/>
    </row>
    <row r="145" spans="1:10" x14ac:dyDescent="0.45">
      <c r="A145" s="5"/>
      <c r="B145" s="5" t="s">
        <v>370</v>
      </c>
      <c r="C145" s="5" t="s">
        <v>307</v>
      </c>
      <c r="D145" s="5"/>
      <c r="E145" s="5" t="s">
        <v>307</v>
      </c>
      <c r="F145" s="5" t="s">
        <v>307</v>
      </c>
      <c r="G145" s="5"/>
      <c r="H145" s="5"/>
      <c r="I145" s="5" t="s">
        <v>307</v>
      </c>
      <c r="J145" s="5"/>
    </row>
    <row r="146" spans="1:10" hidden="1" x14ac:dyDescent="0.45">
      <c r="A146" s="16" t="s">
        <v>836</v>
      </c>
      <c r="B146" s="16" t="s">
        <v>371</v>
      </c>
      <c r="C146" s="16" t="s">
        <v>307</v>
      </c>
      <c r="D146" s="16" t="s">
        <v>307</v>
      </c>
      <c r="E146" s="16" t="s">
        <v>307</v>
      </c>
      <c r="F146" s="16" t="s">
        <v>307</v>
      </c>
      <c r="G146" s="16"/>
      <c r="H146" s="16"/>
      <c r="I146" s="16"/>
      <c r="J146" s="16"/>
    </row>
    <row r="147" spans="1:10" hidden="1" x14ac:dyDescent="0.45">
      <c r="A147" s="6"/>
      <c r="B147" s="6" t="s">
        <v>372</v>
      </c>
      <c r="C147" s="6" t="s">
        <v>307</v>
      </c>
      <c r="D147" s="6"/>
      <c r="E147" s="6" t="s">
        <v>307</v>
      </c>
      <c r="F147" s="6" t="s">
        <v>307</v>
      </c>
      <c r="G147" s="6"/>
      <c r="H147" s="6" t="s">
        <v>307</v>
      </c>
      <c r="I147" s="6"/>
      <c r="J147" s="6"/>
    </row>
    <row r="148" spans="1:10" hidden="1" x14ac:dyDescent="0.45">
      <c r="A148" s="6"/>
      <c r="B148" s="6" t="s">
        <v>373</v>
      </c>
      <c r="C148" s="6" t="s">
        <v>307</v>
      </c>
      <c r="D148" s="6"/>
      <c r="E148" s="6" t="s">
        <v>307</v>
      </c>
      <c r="F148" s="6" t="s">
        <v>307</v>
      </c>
      <c r="G148" s="6"/>
      <c r="H148" s="6" t="s">
        <v>307</v>
      </c>
      <c r="I148" s="6"/>
      <c r="J148" s="6"/>
    </row>
    <row r="149" spans="1:10" hidden="1" x14ac:dyDescent="0.45">
      <c r="A149" s="16" t="s">
        <v>321</v>
      </c>
      <c r="B149" s="16" t="s">
        <v>374</v>
      </c>
      <c r="C149" s="16" t="s">
        <v>307</v>
      </c>
      <c r="D149" s="16" t="s">
        <v>307</v>
      </c>
      <c r="E149" s="16" t="s">
        <v>307</v>
      </c>
      <c r="F149" s="16" t="s">
        <v>307</v>
      </c>
      <c r="G149" s="16"/>
      <c r="H149" s="16"/>
      <c r="I149" s="16"/>
      <c r="J149" s="16"/>
    </row>
    <row r="150" spans="1:10" hidden="1" x14ac:dyDescent="0.45">
      <c r="A150" s="6"/>
      <c r="B150" s="6" t="s">
        <v>375</v>
      </c>
      <c r="C150" s="6"/>
      <c r="D150" s="6" t="s">
        <v>307</v>
      </c>
      <c r="E150" s="6" t="s">
        <v>307</v>
      </c>
      <c r="F150" s="6" t="s">
        <v>307</v>
      </c>
      <c r="G150" s="6"/>
      <c r="H150" s="6" t="s">
        <v>307</v>
      </c>
      <c r="I150" s="6"/>
      <c r="J150" s="6"/>
    </row>
    <row r="151" spans="1:10" hidden="1" x14ac:dyDescent="0.45">
      <c r="A151" s="6"/>
      <c r="B151" s="6" t="s">
        <v>376</v>
      </c>
      <c r="C151" s="6"/>
      <c r="D151" s="6" t="s">
        <v>307</v>
      </c>
      <c r="E151" s="6" t="s">
        <v>307</v>
      </c>
      <c r="F151" s="6" t="s">
        <v>307</v>
      </c>
      <c r="G151" s="6"/>
      <c r="H151" s="6" t="s">
        <v>307</v>
      </c>
      <c r="I151" s="6"/>
      <c r="J151" s="6"/>
    </row>
    <row r="152" spans="1:10" hidden="1" x14ac:dyDescent="0.45">
      <c r="A152" s="16" t="s">
        <v>851</v>
      </c>
      <c r="B152" s="16" t="s">
        <v>377</v>
      </c>
      <c r="C152" s="16" t="s">
        <v>307</v>
      </c>
      <c r="D152" s="16" t="s">
        <v>307</v>
      </c>
      <c r="E152" s="16" t="s">
        <v>307</v>
      </c>
      <c r="F152" s="16" t="s">
        <v>307</v>
      </c>
      <c r="G152" s="16"/>
      <c r="H152" s="16"/>
      <c r="I152" s="16"/>
      <c r="J152" s="16"/>
    </row>
    <row r="153" spans="1:10" hidden="1" x14ac:dyDescent="0.45">
      <c r="A153" s="6"/>
      <c r="B153" s="6" t="s">
        <v>111</v>
      </c>
      <c r="C153" s="6" t="s">
        <v>307</v>
      </c>
      <c r="D153" s="6"/>
      <c r="E153" s="6" t="s">
        <v>307</v>
      </c>
      <c r="F153" s="6" t="s">
        <v>307</v>
      </c>
      <c r="G153" s="6"/>
      <c r="H153" s="6" t="s">
        <v>307</v>
      </c>
      <c r="I153" s="6"/>
      <c r="J153" s="6"/>
    </row>
    <row r="154" spans="1:10" hidden="1" x14ac:dyDescent="0.45">
      <c r="A154" s="6"/>
      <c r="B154" s="6" t="s">
        <v>378</v>
      </c>
      <c r="C154" s="6" t="s">
        <v>307</v>
      </c>
      <c r="D154" s="6" t="s">
        <v>307</v>
      </c>
      <c r="E154" s="6"/>
      <c r="F154" s="6" t="s">
        <v>307</v>
      </c>
      <c r="G154" s="6"/>
      <c r="H154" s="6" t="s">
        <v>307</v>
      </c>
      <c r="I154" s="6"/>
      <c r="J154" s="6" t="s">
        <v>827</v>
      </c>
    </row>
    <row r="155" spans="1:10" hidden="1" x14ac:dyDescent="0.45">
      <c r="A155" s="6"/>
      <c r="B155" s="6" t="s">
        <v>379</v>
      </c>
      <c r="C155" s="6" t="s">
        <v>307</v>
      </c>
      <c r="D155" s="6"/>
      <c r="E155" s="6"/>
      <c r="F155" s="6" t="s">
        <v>307</v>
      </c>
      <c r="G155" s="6"/>
      <c r="H155" s="6" t="s">
        <v>307</v>
      </c>
      <c r="I155" s="6"/>
      <c r="J155" s="6" t="s">
        <v>827</v>
      </c>
    </row>
    <row r="156" spans="1:10" hidden="1" x14ac:dyDescent="0.45">
      <c r="A156" s="6"/>
      <c r="B156" s="6" t="s">
        <v>380</v>
      </c>
      <c r="C156" s="6"/>
      <c r="D156" s="6"/>
      <c r="E156" s="6"/>
      <c r="F156" s="6"/>
      <c r="G156" s="6"/>
      <c r="H156" s="6" t="s">
        <v>307</v>
      </c>
      <c r="I156" s="6"/>
      <c r="J156" s="6" t="s">
        <v>308</v>
      </c>
    </row>
    <row r="157" spans="1:10" hidden="1" x14ac:dyDescent="0.45">
      <c r="A157" s="6"/>
      <c r="B157" s="6" t="s">
        <v>381</v>
      </c>
      <c r="C157" s="6" t="s">
        <v>307</v>
      </c>
      <c r="D157" s="6"/>
      <c r="E157" s="6"/>
      <c r="F157" s="6" t="s">
        <v>307</v>
      </c>
      <c r="G157" s="6"/>
      <c r="H157" s="6" t="s">
        <v>307</v>
      </c>
      <c r="I157" s="6"/>
      <c r="J157" s="6"/>
    </row>
    <row r="158" spans="1:10" hidden="1" x14ac:dyDescent="0.45">
      <c r="A158" s="6"/>
      <c r="B158" s="6" t="s">
        <v>382</v>
      </c>
      <c r="C158" s="6"/>
      <c r="D158" s="6" t="s">
        <v>307</v>
      </c>
      <c r="E158" s="6"/>
      <c r="F158" s="6" t="s">
        <v>307</v>
      </c>
      <c r="G158" s="6"/>
      <c r="H158" s="6" t="s">
        <v>307</v>
      </c>
      <c r="I158" s="6"/>
      <c r="J158" s="6"/>
    </row>
    <row r="159" spans="1:10" hidden="1" x14ac:dyDescent="0.45">
      <c r="A159" s="16" t="s">
        <v>536</v>
      </c>
      <c r="B159" s="16" t="s">
        <v>383</v>
      </c>
      <c r="C159" s="16" t="s">
        <v>307</v>
      </c>
      <c r="D159" s="16" t="s">
        <v>307</v>
      </c>
      <c r="E159" s="16" t="s">
        <v>307</v>
      </c>
      <c r="F159" s="16" t="s">
        <v>307</v>
      </c>
      <c r="G159" s="16"/>
      <c r="H159" s="16"/>
      <c r="I159" s="16"/>
      <c r="J159" s="16"/>
    </row>
  </sheetData>
  <autoFilter ref="A2:J159" xr:uid="{CAE0D3A9-99AA-4834-ABD3-2935A46DBFCE}">
    <filterColumn colId="8">
      <customFilters>
        <customFilter operator="notEqual" val=" "/>
      </customFilters>
    </filterColumn>
  </autoFilter>
  <mergeCells count="1">
    <mergeCell ref="A1:J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FC83-4AAC-484C-BB8F-ECF4FDE64565}">
  <dimension ref="A1:K42"/>
  <sheetViews>
    <sheetView topLeftCell="G1" zoomScale="85" zoomScaleNormal="85" workbookViewId="0">
      <selection activeCell="A38" sqref="A38"/>
    </sheetView>
  </sheetViews>
  <sheetFormatPr defaultRowHeight="14.25" x14ac:dyDescent="0.45"/>
  <cols>
    <col min="1" max="1" width="95.73046875" customWidth="1"/>
    <col min="2" max="2" width="18.73046875" bestFit="1" customWidth="1"/>
    <col min="3" max="3" width="14" bestFit="1" customWidth="1"/>
    <col min="4" max="4" width="22.3984375" bestFit="1" customWidth="1"/>
    <col min="5" max="5" width="5.1328125" bestFit="1" customWidth="1"/>
    <col min="6" max="6" width="71.86328125" bestFit="1" customWidth="1"/>
    <col min="7" max="7" width="43.59765625" bestFit="1" customWidth="1"/>
    <col min="8" max="8" width="255.59765625" bestFit="1" customWidth="1"/>
    <col min="9" max="9" width="29.1328125" bestFit="1" customWidth="1"/>
    <col min="10" max="10" width="19.1328125" customWidth="1"/>
    <col min="11" max="11" width="39.265625" customWidth="1"/>
  </cols>
  <sheetData>
    <row r="1" spans="1:11" x14ac:dyDescent="0.45">
      <c r="A1" s="2" t="s">
        <v>89</v>
      </c>
      <c r="B1" s="2" t="s">
        <v>51</v>
      </c>
      <c r="C1" s="2" t="s">
        <v>386</v>
      </c>
      <c r="D1" s="2" t="s">
        <v>385</v>
      </c>
      <c r="E1" s="2" t="s">
        <v>313</v>
      </c>
      <c r="F1" s="2" t="s">
        <v>78</v>
      </c>
      <c r="G1" s="2" t="s">
        <v>411</v>
      </c>
      <c r="H1" s="2" t="s">
        <v>793</v>
      </c>
      <c r="I1" s="2" t="s">
        <v>404</v>
      </c>
      <c r="J1" s="2" t="s">
        <v>405</v>
      </c>
      <c r="K1" s="2" t="s">
        <v>428</v>
      </c>
    </row>
    <row r="2" spans="1:11" ht="85.5" x14ac:dyDescent="0.45">
      <c r="A2" s="1" t="s">
        <v>102</v>
      </c>
      <c r="B2" s="1" t="s">
        <v>19</v>
      </c>
      <c r="C2" s="1" t="s">
        <v>408</v>
      </c>
      <c r="D2" s="1" t="s">
        <v>409</v>
      </c>
      <c r="E2" s="1">
        <v>2024</v>
      </c>
      <c r="F2" s="1" t="s">
        <v>410</v>
      </c>
      <c r="G2" s="1" t="s">
        <v>412</v>
      </c>
      <c r="H2" s="1" t="s">
        <v>424</v>
      </c>
      <c r="I2" s="1" t="s">
        <v>424</v>
      </c>
      <c r="J2" s="1" t="s">
        <v>424</v>
      </c>
      <c r="K2" s="11" t="s">
        <v>429</v>
      </c>
    </row>
    <row r="3" spans="1:11" x14ac:dyDescent="0.45">
      <c r="A3" s="1" t="s">
        <v>442</v>
      </c>
      <c r="B3" s="1" t="s">
        <v>170</v>
      </c>
      <c r="C3" s="1" t="s">
        <v>443</v>
      </c>
      <c r="D3" s="1" t="s">
        <v>444</v>
      </c>
      <c r="E3" s="1">
        <v>2021</v>
      </c>
      <c r="F3" s="1" t="s">
        <v>476</v>
      </c>
      <c r="G3" s="1" t="s">
        <v>441</v>
      </c>
      <c r="H3" s="1" t="s">
        <v>457</v>
      </c>
      <c r="I3" s="1" t="s">
        <v>424</v>
      </c>
      <c r="J3" s="1" t="s">
        <v>424</v>
      </c>
      <c r="K3" s="1" t="s">
        <v>458</v>
      </c>
    </row>
    <row r="4" spans="1:11" ht="42.75" x14ac:dyDescent="0.45">
      <c r="A4" s="1" t="s">
        <v>104</v>
      </c>
      <c r="B4" s="1" t="s">
        <v>44</v>
      </c>
      <c r="C4" s="1" t="s">
        <v>464</v>
      </c>
      <c r="D4" s="1" t="s">
        <v>465</v>
      </c>
      <c r="E4" s="1">
        <v>2025</v>
      </c>
      <c r="F4" s="1" t="s">
        <v>324</v>
      </c>
      <c r="G4" s="1" t="s">
        <v>462</v>
      </c>
      <c r="H4" s="1" t="s">
        <v>472</v>
      </c>
      <c r="I4" s="1" t="s">
        <v>471</v>
      </c>
      <c r="J4" s="1" t="s">
        <v>424</v>
      </c>
      <c r="K4" s="11" t="s">
        <v>461</v>
      </c>
    </row>
    <row r="5" spans="1:11" x14ac:dyDescent="0.45">
      <c r="A5" s="1" t="s">
        <v>473</v>
      </c>
      <c r="B5" s="1" t="s">
        <v>337</v>
      </c>
      <c r="C5" s="1" t="s">
        <v>474</v>
      </c>
      <c r="D5" s="1" t="s">
        <v>475</v>
      </c>
      <c r="E5" s="1">
        <v>2025</v>
      </c>
      <c r="F5" s="1" t="s">
        <v>86</v>
      </c>
      <c r="G5" s="1" t="s">
        <v>477</v>
      </c>
      <c r="H5" s="1" t="s">
        <v>424</v>
      </c>
      <c r="I5" s="1" t="s">
        <v>424</v>
      </c>
      <c r="J5" s="1" t="s">
        <v>424</v>
      </c>
      <c r="K5" s="1" t="s">
        <v>458</v>
      </c>
    </row>
    <row r="6" spans="1:11" ht="42.75" x14ac:dyDescent="0.45">
      <c r="A6" s="1" t="s">
        <v>99</v>
      </c>
      <c r="B6" s="1" t="s">
        <v>9</v>
      </c>
      <c r="C6" s="1" t="s">
        <v>488</v>
      </c>
      <c r="D6" s="1" t="s">
        <v>489</v>
      </c>
      <c r="E6" s="1">
        <v>2025</v>
      </c>
      <c r="F6" s="1" t="s">
        <v>82</v>
      </c>
      <c r="G6" s="1" t="s">
        <v>490</v>
      </c>
      <c r="H6" s="1" t="s">
        <v>504</v>
      </c>
      <c r="I6" s="11" t="s">
        <v>505</v>
      </c>
      <c r="J6" s="1" t="s">
        <v>424</v>
      </c>
      <c r="K6" s="1" t="s">
        <v>458</v>
      </c>
    </row>
    <row r="7" spans="1:11" x14ac:dyDescent="0.45">
      <c r="A7" s="1" t="s">
        <v>325</v>
      </c>
      <c r="B7" s="1" t="s">
        <v>163</v>
      </c>
      <c r="C7" s="1" t="s">
        <v>506</v>
      </c>
      <c r="D7" s="1" t="s">
        <v>507</v>
      </c>
      <c r="E7" s="1">
        <v>2025</v>
      </c>
      <c r="F7" s="1" t="s">
        <v>7</v>
      </c>
      <c r="G7" s="1" t="s">
        <v>326</v>
      </c>
      <c r="H7" s="1" t="s">
        <v>516</v>
      </c>
      <c r="I7" s="1" t="s">
        <v>517</v>
      </c>
      <c r="J7" s="1" t="s">
        <v>424</v>
      </c>
      <c r="K7" s="1" t="s">
        <v>458</v>
      </c>
    </row>
    <row r="8" spans="1:11" x14ac:dyDescent="0.45">
      <c r="A8" s="1" t="s">
        <v>521</v>
      </c>
      <c r="B8" s="1" t="s">
        <v>331</v>
      </c>
      <c r="C8" s="1" t="s">
        <v>519</v>
      </c>
      <c r="D8" s="1" t="s">
        <v>520</v>
      </c>
      <c r="E8" s="1">
        <v>2026</v>
      </c>
      <c r="F8" s="1" t="s">
        <v>79</v>
      </c>
      <c r="G8" s="1" t="s">
        <v>326</v>
      </c>
      <c r="H8" s="1" t="s">
        <v>531</v>
      </c>
      <c r="I8" s="1" t="s">
        <v>532</v>
      </c>
      <c r="J8" s="1" t="s">
        <v>424</v>
      </c>
      <c r="K8" s="1" t="s">
        <v>458</v>
      </c>
    </row>
    <row r="9" spans="1:11" x14ac:dyDescent="0.45">
      <c r="A9" s="1" t="s">
        <v>90</v>
      </c>
      <c r="B9" s="1" t="s">
        <v>14</v>
      </c>
      <c r="C9" s="1" t="s">
        <v>539</v>
      </c>
      <c r="D9" s="1" t="s">
        <v>538</v>
      </c>
      <c r="E9" s="1">
        <v>2025</v>
      </c>
      <c r="F9" s="1" t="s">
        <v>476</v>
      </c>
      <c r="G9" s="1" t="s">
        <v>540</v>
      </c>
      <c r="H9" s="1" t="s">
        <v>424</v>
      </c>
      <c r="I9" s="1" t="s">
        <v>424</v>
      </c>
      <c r="J9" s="1" t="s">
        <v>424</v>
      </c>
      <c r="K9" s="1" t="s">
        <v>458</v>
      </c>
    </row>
    <row r="10" spans="1:11" x14ac:dyDescent="0.45">
      <c r="A10" s="1" t="s">
        <v>545</v>
      </c>
      <c r="B10" s="1" t="s">
        <v>336</v>
      </c>
      <c r="C10" s="1" t="s">
        <v>546</v>
      </c>
      <c r="D10" s="1" t="s">
        <v>781</v>
      </c>
      <c r="E10" s="1">
        <v>2025</v>
      </c>
      <c r="F10" s="1" t="s">
        <v>548</v>
      </c>
      <c r="G10" s="1" t="s">
        <v>549</v>
      </c>
      <c r="H10" s="1" t="s">
        <v>555</v>
      </c>
      <c r="I10" s="1" t="s">
        <v>713</v>
      </c>
      <c r="J10" s="1" t="s">
        <v>424</v>
      </c>
      <c r="K10" s="1" t="s">
        <v>458</v>
      </c>
    </row>
    <row r="11" spans="1:11" x14ac:dyDescent="0.45">
      <c r="A11" s="1" t="s">
        <v>94</v>
      </c>
      <c r="B11" s="1" t="s">
        <v>17</v>
      </c>
      <c r="C11" s="1" t="s">
        <v>556</v>
      </c>
      <c r="D11" s="1" t="s">
        <v>557</v>
      </c>
      <c r="E11" s="1">
        <v>2023</v>
      </c>
      <c r="F11" s="1" t="s">
        <v>79</v>
      </c>
      <c r="G11" s="1" t="s">
        <v>558</v>
      </c>
      <c r="H11" s="1" t="s">
        <v>562</v>
      </c>
      <c r="I11" s="1" t="s">
        <v>563</v>
      </c>
      <c r="J11" s="1" t="s">
        <v>424</v>
      </c>
      <c r="K11" s="1" t="s">
        <v>458</v>
      </c>
    </row>
    <row r="12" spans="1:11" x14ac:dyDescent="0.45">
      <c r="A12" s="1" t="s">
        <v>91</v>
      </c>
      <c r="B12" s="1" t="s">
        <v>61</v>
      </c>
      <c r="C12" s="1" t="s">
        <v>564</v>
      </c>
      <c r="D12" s="1" t="s">
        <v>565</v>
      </c>
      <c r="E12" s="1">
        <v>2025</v>
      </c>
      <c r="F12" s="1" t="s">
        <v>80</v>
      </c>
      <c r="G12" s="1" t="s">
        <v>566</v>
      </c>
      <c r="H12" s="1" t="s">
        <v>424</v>
      </c>
      <c r="I12" s="1" t="s">
        <v>577</v>
      </c>
      <c r="J12" s="1" t="s">
        <v>424</v>
      </c>
      <c r="K12" s="1" t="s">
        <v>458</v>
      </c>
    </row>
    <row r="13" spans="1:11" x14ac:dyDescent="0.45">
      <c r="A13" s="1" t="s">
        <v>581</v>
      </c>
      <c r="B13" s="1" t="s">
        <v>335</v>
      </c>
      <c r="C13" s="1" t="s">
        <v>580</v>
      </c>
      <c r="D13" s="1" t="s">
        <v>782</v>
      </c>
      <c r="E13" s="1">
        <v>2025</v>
      </c>
      <c r="F13" s="1" t="s">
        <v>578</v>
      </c>
      <c r="G13" s="1" t="s">
        <v>582</v>
      </c>
      <c r="H13" s="1" t="s">
        <v>424</v>
      </c>
      <c r="I13" s="1" t="s">
        <v>587</v>
      </c>
      <c r="J13" s="1" t="s">
        <v>424</v>
      </c>
      <c r="K13" s="1" t="s">
        <v>458</v>
      </c>
    </row>
    <row r="14" spans="1:11" x14ac:dyDescent="0.45">
      <c r="A14" s="1" t="s">
        <v>588</v>
      </c>
      <c r="B14" s="1" t="s">
        <v>46</v>
      </c>
      <c r="C14" s="1" t="s">
        <v>589</v>
      </c>
      <c r="D14" s="1" t="s">
        <v>489</v>
      </c>
      <c r="E14" s="1">
        <v>2025</v>
      </c>
      <c r="F14" s="1" t="s">
        <v>590</v>
      </c>
      <c r="G14" s="1" t="s">
        <v>591</v>
      </c>
      <c r="H14" s="1" t="s">
        <v>595</v>
      </c>
      <c r="I14" s="1" t="s">
        <v>596</v>
      </c>
      <c r="J14" s="1" t="s">
        <v>424</v>
      </c>
      <c r="K14" s="1" t="s">
        <v>458</v>
      </c>
    </row>
    <row r="15" spans="1:11" x14ac:dyDescent="0.45">
      <c r="A15" s="1" t="s">
        <v>599</v>
      </c>
      <c r="B15" s="1" t="s">
        <v>339</v>
      </c>
      <c r="C15" s="1" t="s">
        <v>600</v>
      </c>
      <c r="D15" s="1" t="s">
        <v>601</v>
      </c>
      <c r="E15" s="1">
        <v>2026</v>
      </c>
      <c r="F15" s="1" t="s">
        <v>602</v>
      </c>
      <c r="G15" s="1" t="s">
        <v>603</v>
      </c>
      <c r="H15" s="1" t="s">
        <v>610</v>
      </c>
      <c r="I15" s="1" t="s">
        <v>611</v>
      </c>
      <c r="J15" s="1" t="s">
        <v>424</v>
      </c>
      <c r="K15" s="1" t="s">
        <v>458</v>
      </c>
    </row>
    <row r="16" spans="1:11" x14ac:dyDescent="0.45">
      <c r="A16" s="1" t="s">
        <v>98</v>
      </c>
      <c r="B16" s="1" t="s">
        <v>18</v>
      </c>
      <c r="C16" s="1" t="s">
        <v>612</v>
      </c>
      <c r="D16" s="1" t="s">
        <v>613</v>
      </c>
      <c r="E16" s="1">
        <v>2022</v>
      </c>
      <c r="F16" s="1" t="s">
        <v>83</v>
      </c>
      <c r="G16" s="1" t="s">
        <v>614</v>
      </c>
      <c r="H16" s="1" t="s">
        <v>615</v>
      </c>
      <c r="I16" s="1" t="s">
        <v>714</v>
      </c>
      <c r="J16" s="1" t="s">
        <v>424</v>
      </c>
      <c r="K16" s="1" t="s">
        <v>458</v>
      </c>
    </row>
    <row r="17" spans="1:11" x14ac:dyDescent="0.45">
      <c r="A17" s="1" t="s">
        <v>100</v>
      </c>
      <c r="B17" s="1" t="s">
        <v>10</v>
      </c>
      <c r="C17" s="1" t="s">
        <v>621</v>
      </c>
      <c r="D17" s="1" t="s">
        <v>783</v>
      </c>
      <c r="E17" s="1">
        <v>2022</v>
      </c>
      <c r="F17" s="1" t="s">
        <v>85</v>
      </c>
      <c r="G17" s="1" t="s">
        <v>623</v>
      </c>
      <c r="H17" s="1" t="s">
        <v>624</v>
      </c>
      <c r="I17" s="1" t="s">
        <v>424</v>
      </c>
      <c r="J17" s="1" t="s">
        <v>424</v>
      </c>
      <c r="K17" s="1" t="s">
        <v>458</v>
      </c>
    </row>
    <row r="18" spans="1:11" x14ac:dyDescent="0.45">
      <c r="A18" s="1" t="s">
        <v>319</v>
      </c>
      <c r="B18" s="1" t="s">
        <v>13</v>
      </c>
      <c r="C18" s="1" t="s">
        <v>631</v>
      </c>
      <c r="D18" s="1" t="s">
        <v>632</v>
      </c>
      <c r="E18" s="1">
        <v>2025</v>
      </c>
      <c r="F18" s="1" t="s">
        <v>87</v>
      </c>
      <c r="G18" s="1" t="s">
        <v>633</v>
      </c>
      <c r="H18" s="1" t="s">
        <v>634</v>
      </c>
      <c r="I18" s="1" t="s">
        <v>635</v>
      </c>
      <c r="J18" s="1" t="s">
        <v>424</v>
      </c>
      <c r="K18" s="1" t="s">
        <v>458</v>
      </c>
    </row>
    <row r="19" spans="1:11" x14ac:dyDescent="0.45">
      <c r="A19" s="1" t="s">
        <v>106</v>
      </c>
      <c r="B19" s="1" t="s">
        <v>20</v>
      </c>
      <c r="C19" s="1" t="s">
        <v>641</v>
      </c>
      <c r="D19" s="1" t="s">
        <v>642</v>
      </c>
      <c r="E19" s="1">
        <v>2024</v>
      </c>
      <c r="F19" s="1" t="s">
        <v>643</v>
      </c>
      <c r="G19" s="1" t="s">
        <v>644</v>
      </c>
      <c r="H19" s="1" t="s">
        <v>424</v>
      </c>
      <c r="I19" s="1" t="s">
        <v>646</v>
      </c>
      <c r="J19" s="1" t="s">
        <v>424</v>
      </c>
      <c r="K19" s="1" t="s">
        <v>458</v>
      </c>
    </row>
    <row r="20" spans="1:11" x14ac:dyDescent="0.45">
      <c r="A20" s="1" t="s">
        <v>649</v>
      </c>
      <c r="B20" s="1" t="s">
        <v>329</v>
      </c>
      <c r="C20" s="1" t="s">
        <v>650</v>
      </c>
      <c r="D20" s="1" t="s">
        <v>651</v>
      </c>
      <c r="E20" s="1">
        <v>2025</v>
      </c>
      <c r="F20" s="1" t="s">
        <v>7</v>
      </c>
      <c r="G20" s="1" t="s">
        <v>653</v>
      </c>
      <c r="H20" s="1" t="s">
        <v>652</v>
      </c>
      <c r="I20" s="1" t="s">
        <v>424</v>
      </c>
      <c r="J20" s="1" t="s">
        <v>424</v>
      </c>
      <c r="K20" s="1" t="s">
        <v>458</v>
      </c>
    </row>
    <row r="21" spans="1:11" x14ac:dyDescent="0.45">
      <c r="A21" s="1" t="s">
        <v>658</v>
      </c>
      <c r="B21" s="1" t="s">
        <v>330</v>
      </c>
      <c r="C21" s="1" t="s">
        <v>660</v>
      </c>
      <c r="D21" s="1" t="s">
        <v>661</v>
      </c>
      <c r="E21" s="1">
        <v>2025</v>
      </c>
      <c r="F21" s="1" t="s">
        <v>659</v>
      </c>
      <c r="G21" s="1" t="s">
        <v>665</v>
      </c>
      <c r="H21" s="1" t="s">
        <v>663</v>
      </c>
      <c r="I21" s="1" t="s">
        <v>664</v>
      </c>
      <c r="J21" s="1" t="s">
        <v>424</v>
      </c>
      <c r="K21" s="1" t="s">
        <v>458</v>
      </c>
    </row>
    <row r="22" spans="1:11" x14ac:dyDescent="0.45">
      <c r="A22" s="1" t="s">
        <v>668</v>
      </c>
      <c r="B22" s="1" t="s">
        <v>288</v>
      </c>
      <c r="C22" s="1" t="s">
        <v>669</v>
      </c>
      <c r="D22" s="1" t="s">
        <v>670</v>
      </c>
      <c r="E22" s="1">
        <v>2025</v>
      </c>
      <c r="F22" s="1" t="s">
        <v>671</v>
      </c>
      <c r="G22" s="1" t="s">
        <v>672</v>
      </c>
      <c r="H22" s="1" t="s">
        <v>673</v>
      </c>
      <c r="I22" s="1" t="s">
        <v>674</v>
      </c>
      <c r="J22" s="1" t="s">
        <v>424</v>
      </c>
      <c r="K22" s="1" t="s">
        <v>458</v>
      </c>
    </row>
    <row r="23" spans="1:11" x14ac:dyDescent="0.45">
      <c r="A23" s="1" t="s">
        <v>93</v>
      </c>
      <c r="B23" s="1" t="s">
        <v>40</v>
      </c>
      <c r="C23" s="1" t="s">
        <v>681</v>
      </c>
      <c r="D23" s="1" t="s">
        <v>680</v>
      </c>
      <c r="E23" s="1">
        <v>2025</v>
      </c>
      <c r="F23" s="1" t="s">
        <v>682</v>
      </c>
      <c r="G23" s="1" t="s">
        <v>683</v>
      </c>
      <c r="H23" s="1" t="s">
        <v>684</v>
      </c>
      <c r="I23" s="1" t="s">
        <v>685</v>
      </c>
      <c r="J23" s="1" t="s">
        <v>424</v>
      </c>
      <c r="K23" s="1" t="s">
        <v>458</v>
      </c>
    </row>
    <row r="24" spans="1:11" x14ac:dyDescent="0.45">
      <c r="A24" s="1" t="s">
        <v>690</v>
      </c>
      <c r="B24" s="1" t="s">
        <v>161</v>
      </c>
      <c r="C24" s="1" t="s">
        <v>692</v>
      </c>
      <c r="D24" s="1" t="s">
        <v>784</v>
      </c>
      <c r="E24" s="1">
        <v>2025</v>
      </c>
      <c r="F24" s="1" t="s">
        <v>691</v>
      </c>
      <c r="G24" s="1" t="s">
        <v>689</v>
      </c>
      <c r="H24" s="1" t="s">
        <v>694</v>
      </c>
      <c r="I24" s="1" t="s">
        <v>695</v>
      </c>
      <c r="J24" s="1" t="s">
        <v>424</v>
      </c>
      <c r="K24" s="1" t="s">
        <v>458</v>
      </c>
    </row>
    <row r="25" spans="1:11" x14ac:dyDescent="0.45">
      <c r="A25" s="1" t="s">
        <v>103</v>
      </c>
      <c r="B25" s="1" t="s">
        <v>42</v>
      </c>
      <c r="C25" s="1" t="s">
        <v>703</v>
      </c>
      <c r="D25" s="1" t="s">
        <v>785</v>
      </c>
      <c r="E25" s="1">
        <v>2025</v>
      </c>
      <c r="F25" s="1" t="s">
        <v>86</v>
      </c>
      <c r="G25" s="1" t="s">
        <v>705</v>
      </c>
      <c r="H25" s="1" t="s">
        <v>709</v>
      </c>
      <c r="I25" s="1" t="s">
        <v>710</v>
      </c>
      <c r="J25" s="1" t="s">
        <v>424</v>
      </c>
      <c r="K25" s="1" t="s">
        <v>458</v>
      </c>
    </row>
    <row r="26" spans="1:11" x14ac:dyDescent="0.45">
      <c r="A26" s="1" t="s">
        <v>708</v>
      </c>
      <c r="B26" s="1" t="s">
        <v>340</v>
      </c>
      <c r="C26" s="1" t="s">
        <v>711</v>
      </c>
      <c r="D26" s="1" t="s">
        <v>786</v>
      </c>
      <c r="E26" s="1">
        <v>2026</v>
      </c>
      <c r="F26" s="1" t="s">
        <v>83</v>
      </c>
      <c r="G26" s="1" t="s">
        <v>717</v>
      </c>
      <c r="H26" s="1" t="s">
        <v>715</v>
      </c>
      <c r="I26" s="1" t="s">
        <v>716</v>
      </c>
      <c r="J26" s="1" t="s">
        <v>424</v>
      </c>
      <c r="K26" s="1" t="s">
        <v>458</v>
      </c>
    </row>
    <row r="27" spans="1:11" x14ac:dyDescent="0.45">
      <c r="A27" s="1" t="s">
        <v>724</v>
      </c>
      <c r="B27" s="1" t="s">
        <v>343</v>
      </c>
      <c r="C27" s="1" t="s">
        <v>725</v>
      </c>
      <c r="D27" s="1" t="s">
        <v>726</v>
      </c>
      <c r="E27" s="1">
        <v>2025</v>
      </c>
      <c r="F27" s="1" t="s">
        <v>727</v>
      </c>
      <c r="G27" s="1" t="s">
        <v>728</v>
      </c>
      <c r="H27" s="1" t="s">
        <v>729</v>
      </c>
      <c r="I27" s="1" t="s">
        <v>730</v>
      </c>
      <c r="J27" s="1" t="s">
        <v>424</v>
      </c>
      <c r="K27" s="1" t="s">
        <v>458</v>
      </c>
    </row>
    <row r="28" spans="1:11" x14ac:dyDescent="0.45">
      <c r="A28" s="1" t="s">
        <v>92</v>
      </c>
      <c r="B28" s="1" t="s">
        <v>41</v>
      </c>
      <c r="C28" s="1" t="s">
        <v>737</v>
      </c>
      <c r="D28" s="1" t="s">
        <v>738</v>
      </c>
      <c r="E28" s="1">
        <v>2022</v>
      </c>
      <c r="F28" s="1" t="s">
        <v>81</v>
      </c>
      <c r="G28" s="1" t="s">
        <v>739</v>
      </c>
      <c r="H28" s="1" t="s">
        <v>424</v>
      </c>
      <c r="I28" s="1" t="s">
        <v>424</v>
      </c>
      <c r="J28" s="1" t="s">
        <v>424</v>
      </c>
      <c r="K28" s="1" t="s">
        <v>458</v>
      </c>
    </row>
    <row r="29" spans="1:11" x14ac:dyDescent="0.45">
      <c r="A29" s="1" t="s">
        <v>105</v>
      </c>
      <c r="B29" s="1" t="s">
        <v>16</v>
      </c>
      <c r="C29" s="1" t="s">
        <v>745</v>
      </c>
      <c r="D29" s="1" t="s">
        <v>746</v>
      </c>
      <c r="E29" s="1">
        <v>2024</v>
      </c>
      <c r="F29" s="1" t="s">
        <v>747</v>
      </c>
      <c r="G29" s="1" t="s">
        <v>748</v>
      </c>
      <c r="H29" s="1" t="s">
        <v>424</v>
      </c>
      <c r="I29" s="1" t="s">
        <v>424</v>
      </c>
      <c r="J29" s="1" t="s">
        <v>424</v>
      </c>
      <c r="K29" s="1" t="s">
        <v>458</v>
      </c>
    </row>
    <row r="30" spans="1:11" x14ac:dyDescent="0.45">
      <c r="A30" s="1" t="s">
        <v>320</v>
      </c>
      <c r="B30" s="1" t="s">
        <v>299</v>
      </c>
      <c r="C30" s="1" t="s">
        <v>755</v>
      </c>
      <c r="D30" s="1" t="s">
        <v>670</v>
      </c>
      <c r="E30" s="1">
        <v>2024</v>
      </c>
      <c r="F30" s="1" t="s">
        <v>476</v>
      </c>
      <c r="G30" s="1" t="s">
        <v>756</v>
      </c>
      <c r="H30" s="1" t="s">
        <v>759</v>
      </c>
      <c r="I30" s="1" t="s">
        <v>760</v>
      </c>
      <c r="J30" s="1" t="s">
        <v>424</v>
      </c>
      <c r="K30" s="1" t="s">
        <v>458</v>
      </c>
    </row>
    <row r="31" spans="1:11" ht="15" customHeight="1" x14ac:dyDescent="0.45">
      <c r="A31" s="1" t="s">
        <v>96</v>
      </c>
      <c r="B31" s="1" t="s">
        <v>70</v>
      </c>
      <c r="C31" s="1" t="s">
        <v>762</v>
      </c>
      <c r="D31" s="1" t="s">
        <v>763</v>
      </c>
      <c r="E31" s="1">
        <v>2024</v>
      </c>
      <c r="F31" s="1" t="s">
        <v>764</v>
      </c>
      <c r="G31" s="1" t="s">
        <v>765</v>
      </c>
      <c r="H31" s="11" t="s">
        <v>769</v>
      </c>
      <c r="I31" s="11" t="s">
        <v>770</v>
      </c>
      <c r="J31" s="1" t="s">
        <v>424</v>
      </c>
      <c r="K31" s="1" t="s">
        <v>458</v>
      </c>
    </row>
    <row r="32" spans="1:11" x14ac:dyDescent="0.45">
      <c r="A32" s="1" t="s">
        <v>776</v>
      </c>
      <c r="B32" s="1" t="s">
        <v>262</v>
      </c>
      <c r="C32" s="1" t="s">
        <v>777</v>
      </c>
      <c r="D32" s="1" t="s">
        <v>787</v>
      </c>
      <c r="E32" s="1">
        <v>2025</v>
      </c>
      <c r="F32" s="1" t="s">
        <v>79</v>
      </c>
      <c r="G32" s="1" t="s">
        <v>768</v>
      </c>
      <c r="H32" s="1" t="s">
        <v>424</v>
      </c>
      <c r="I32" s="1" t="s">
        <v>771</v>
      </c>
      <c r="J32" s="1" t="s">
        <v>424</v>
      </c>
      <c r="K32" s="1" t="s">
        <v>458</v>
      </c>
    </row>
    <row r="33" spans="1:11" x14ac:dyDescent="0.45">
      <c r="A33" s="1" t="s">
        <v>788</v>
      </c>
      <c r="B33" s="1" t="s">
        <v>50</v>
      </c>
      <c r="C33" s="1" t="s">
        <v>789</v>
      </c>
      <c r="D33" s="1" t="s">
        <v>790</v>
      </c>
      <c r="E33" s="1">
        <v>2024</v>
      </c>
      <c r="F33" s="1" t="s">
        <v>791</v>
      </c>
      <c r="G33" s="11" t="s">
        <v>792</v>
      </c>
      <c r="H33" s="1" t="s">
        <v>794</v>
      </c>
      <c r="I33" s="1" t="s">
        <v>795</v>
      </c>
      <c r="J33" s="1" t="s">
        <v>424</v>
      </c>
      <c r="K33" s="1" t="s">
        <v>458</v>
      </c>
    </row>
    <row r="34" spans="1:11" x14ac:dyDescent="0.45">
      <c r="A34" s="1" t="s">
        <v>101</v>
      </c>
      <c r="B34" s="1" t="s">
        <v>11</v>
      </c>
      <c r="C34" s="1" t="s">
        <v>800</v>
      </c>
      <c r="D34" s="1" t="s">
        <v>801</v>
      </c>
      <c r="E34" s="1">
        <v>2023</v>
      </c>
      <c r="F34" s="1" t="s">
        <v>802</v>
      </c>
      <c r="G34" s="1" t="s">
        <v>803</v>
      </c>
      <c r="H34" s="1" t="s">
        <v>804</v>
      </c>
      <c r="I34" s="1" t="s">
        <v>805</v>
      </c>
      <c r="J34" s="1" t="s">
        <v>424</v>
      </c>
      <c r="K34" s="1" t="s">
        <v>458</v>
      </c>
    </row>
    <row r="35" spans="1:11" x14ac:dyDescent="0.45">
      <c r="A35" s="1" t="s">
        <v>317</v>
      </c>
      <c r="B35" s="1" t="s">
        <v>267</v>
      </c>
      <c r="C35" s="1" t="s">
        <v>807</v>
      </c>
      <c r="D35" s="1" t="s">
        <v>808</v>
      </c>
      <c r="E35" s="1">
        <v>2024</v>
      </c>
      <c r="F35" s="1" t="s">
        <v>86</v>
      </c>
      <c r="G35" s="1" t="s">
        <v>809</v>
      </c>
      <c r="H35" s="1" t="s">
        <v>823</v>
      </c>
      <c r="I35" s="1" t="s">
        <v>824</v>
      </c>
      <c r="J35" s="1" t="s">
        <v>424</v>
      </c>
      <c r="K35" s="1" t="s">
        <v>458</v>
      </c>
    </row>
    <row r="36" spans="1:11" x14ac:dyDescent="0.45">
      <c r="A36" s="1" t="s">
        <v>95</v>
      </c>
      <c r="B36" s="1" t="s">
        <v>65</v>
      </c>
      <c r="C36" s="1" t="s">
        <v>814</v>
      </c>
      <c r="D36" s="1" t="s">
        <v>815</v>
      </c>
      <c r="E36" s="1">
        <v>2023</v>
      </c>
      <c r="F36" s="1" t="s">
        <v>816</v>
      </c>
      <c r="G36" s="1" t="s">
        <v>817</v>
      </c>
      <c r="H36" s="1" t="s">
        <v>458</v>
      </c>
      <c r="I36" s="1" t="s">
        <v>818</v>
      </c>
      <c r="J36" s="1" t="s">
        <v>424</v>
      </c>
      <c r="K36" s="1"/>
    </row>
    <row r="37" spans="1:11" x14ac:dyDescent="0.45">
      <c r="A37" s="1" t="s">
        <v>322</v>
      </c>
      <c r="B37" s="1" t="s">
        <v>368</v>
      </c>
      <c r="C37" s="1" t="s">
        <v>829</v>
      </c>
      <c r="D37" s="1" t="s">
        <v>830</v>
      </c>
      <c r="E37" s="1">
        <v>2022</v>
      </c>
      <c r="F37" s="1" t="s">
        <v>323</v>
      </c>
      <c r="G37" s="1" t="s">
        <v>810</v>
      </c>
      <c r="H37" s="1" t="s">
        <v>834</v>
      </c>
      <c r="I37" s="1" t="s">
        <v>835</v>
      </c>
      <c r="J37" s="1" t="s">
        <v>424</v>
      </c>
      <c r="K37" s="1" t="s">
        <v>458</v>
      </c>
    </row>
    <row r="38" spans="1:11" x14ac:dyDescent="0.45">
      <c r="A38" s="1" t="s">
        <v>836</v>
      </c>
      <c r="B38" s="1" t="s">
        <v>371</v>
      </c>
      <c r="C38" s="1" t="s">
        <v>837</v>
      </c>
      <c r="D38" s="1" t="s">
        <v>839</v>
      </c>
      <c r="E38" s="1">
        <v>2014</v>
      </c>
      <c r="F38" s="1" t="s">
        <v>838</v>
      </c>
      <c r="G38" s="1" t="s">
        <v>840</v>
      </c>
      <c r="H38" s="1" t="s">
        <v>845</v>
      </c>
      <c r="I38" s="1" t="s">
        <v>424</v>
      </c>
      <c r="J38" s="1" t="s">
        <v>424</v>
      </c>
      <c r="K38" s="1" t="s">
        <v>458</v>
      </c>
    </row>
    <row r="39" spans="1:11" x14ac:dyDescent="0.45">
      <c r="A39" s="1" t="s">
        <v>321</v>
      </c>
      <c r="B39" s="1" t="s">
        <v>374</v>
      </c>
      <c r="C39" s="1" t="s">
        <v>847</v>
      </c>
      <c r="D39" s="1" t="s">
        <v>848</v>
      </c>
      <c r="E39" s="1">
        <v>2018</v>
      </c>
      <c r="F39" s="1" t="s">
        <v>80</v>
      </c>
      <c r="G39" s="1" t="s">
        <v>849</v>
      </c>
      <c r="H39" s="1" t="s">
        <v>424</v>
      </c>
      <c r="I39" s="1" t="s">
        <v>424</v>
      </c>
      <c r="J39" s="1" t="s">
        <v>424</v>
      </c>
      <c r="K39" s="1" t="s">
        <v>458</v>
      </c>
    </row>
    <row r="40" spans="1:11" x14ac:dyDescent="0.45">
      <c r="A40" s="1" t="s">
        <v>851</v>
      </c>
      <c r="B40" s="1" t="s">
        <v>377</v>
      </c>
      <c r="C40" s="1" t="s">
        <v>852</v>
      </c>
      <c r="D40" s="1" t="s">
        <v>853</v>
      </c>
      <c r="E40" s="1">
        <v>2021</v>
      </c>
      <c r="F40" s="1" t="s">
        <v>80</v>
      </c>
      <c r="G40" s="1" t="s">
        <v>854</v>
      </c>
      <c r="H40" s="1" t="s">
        <v>858</v>
      </c>
      <c r="I40" s="1" t="s">
        <v>859</v>
      </c>
      <c r="J40" s="1" t="s">
        <v>424</v>
      </c>
      <c r="K40" s="1" t="s">
        <v>458</v>
      </c>
    </row>
    <row r="41" spans="1:11" x14ac:dyDescent="0.45">
      <c r="A41" s="1" t="s">
        <v>536</v>
      </c>
      <c r="B41" s="1" t="s">
        <v>383</v>
      </c>
      <c r="C41" s="1" t="s">
        <v>860</v>
      </c>
      <c r="D41" s="1" t="s">
        <v>861</v>
      </c>
      <c r="E41" s="1">
        <v>2022</v>
      </c>
      <c r="F41" s="1" t="s">
        <v>862</v>
      </c>
      <c r="G41" s="1" t="s">
        <v>863</v>
      </c>
      <c r="H41" s="1" t="s">
        <v>864</v>
      </c>
      <c r="I41" s="1" t="s">
        <v>865</v>
      </c>
      <c r="J41" s="1" t="s">
        <v>424</v>
      </c>
      <c r="K41" s="1" t="s">
        <v>458</v>
      </c>
    </row>
    <row r="42" spans="1:11" x14ac:dyDescent="0.45">
      <c r="A42" s="1" t="s">
        <v>869</v>
      </c>
      <c r="B42" s="1" t="s">
        <v>66</v>
      </c>
      <c r="C42" s="1" t="s">
        <v>871</v>
      </c>
      <c r="D42" s="1" t="s">
        <v>870</v>
      </c>
      <c r="E42" s="1">
        <v>2024</v>
      </c>
      <c r="F42" s="1" t="s">
        <v>86</v>
      </c>
      <c r="G42" s="1" t="s">
        <v>872</v>
      </c>
      <c r="H42" s="1" t="s">
        <v>873</v>
      </c>
      <c r="I42" s="1" t="s">
        <v>874</v>
      </c>
      <c r="J42" s="1" t="s">
        <v>424</v>
      </c>
      <c r="K42" s="1" t="s">
        <v>458</v>
      </c>
    </row>
  </sheetData>
  <autoFilter ref="A1:K32" xr:uid="{6357FC83-4AAC-484C-BB8F-ECF4FDE64565}"/>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CF4A-D03D-4908-8D43-5143C7438B6C}">
  <dimension ref="A1:I42"/>
  <sheetViews>
    <sheetView topLeftCell="D1" zoomScale="70" zoomScaleNormal="70" workbookViewId="0">
      <selection activeCell="U1" sqref="J1:U1048576"/>
    </sheetView>
  </sheetViews>
  <sheetFormatPr defaultRowHeight="14.25" x14ac:dyDescent="0.45"/>
  <cols>
    <col min="1" max="1" width="85.3984375" bestFit="1" customWidth="1"/>
    <col min="2" max="2" width="26" bestFit="1" customWidth="1"/>
    <col min="3" max="3" width="18.1328125" bestFit="1" customWidth="1"/>
    <col min="4" max="4" width="22.73046875" bestFit="1" customWidth="1"/>
    <col min="5" max="5" width="6.59765625" bestFit="1" customWidth="1"/>
    <col min="6" max="6" width="71.265625" bestFit="1" customWidth="1"/>
    <col min="7" max="7" width="10.86328125" bestFit="1" customWidth="1"/>
    <col min="8" max="8" width="10.86328125" customWidth="1"/>
    <col min="9" max="9" width="14.3984375" bestFit="1" customWidth="1"/>
  </cols>
  <sheetData>
    <row r="1" spans="1:9" x14ac:dyDescent="0.45">
      <c r="A1" s="4" t="s">
        <v>89</v>
      </c>
      <c r="B1" s="2" t="s">
        <v>51</v>
      </c>
      <c r="C1" s="2" t="s">
        <v>386</v>
      </c>
      <c r="D1" s="2" t="s">
        <v>385</v>
      </c>
      <c r="E1" s="2" t="s">
        <v>313</v>
      </c>
      <c r="F1" s="2" t="s">
        <v>411</v>
      </c>
      <c r="G1" s="2" t="s">
        <v>387</v>
      </c>
      <c r="H1" s="2" t="s">
        <v>478</v>
      </c>
      <c r="I1" s="2" t="s">
        <v>388</v>
      </c>
    </row>
    <row r="2" spans="1:9" x14ac:dyDescent="0.45">
      <c r="A2" s="1" t="s">
        <v>102</v>
      </c>
      <c r="B2" s="1" t="s">
        <v>19</v>
      </c>
      <c r="C2" s="1" t="s">
        <v>408</v>
      </c>
      <c r="D2" s="1" t="s">
        <v>409</v>
      </c>
      <c r="E2" s="1">
        <v>2024</v>
      </c>
      <c r="F2" s="1" t="s">
        <v>412</v>
      </c>
      <c r="G2" s="10" t="s">
        <v>307</v>
      </c>
      <c r="H2" s="10" t="s">
        <v>424</v>
      </c>
      <c r="I2" s="10" t="s">
        <v>424</v>
      </c>
    </row>
    <row r="3" spans="1:9" x14ac:dyDescent="0.45">
      <c r="A3" s="1" t="s">
        <v>442</v>
      </c>
      <c r="B3" s="1" t="s">
        <v>170</v>
      </c>
      <c r="C3" s="1" t="s">
        <v>443</v>
      </c>
      <c r="D3" s="1" t="s">
        <v>444</v>
      </c>
      <c r="E3" s="1">
        <v>2021</v>
      </c>
      <c r="F3" s="1" t="s">
        <v>454</v>
      </c>
      <c r="G3" s="10" t="s">
        <v>307</v>
      </c>
      <c r="H3" s="10" t="s">
        <v>424</v>
      </c>
      <c r="I3" s="10" t="s">
        <v>424</v>
      </c>
    </row>
    <row r="4" spans="1:9" x14ac:dyDescent="0.45">
      <c r="A4" s="1" t="s">
        <v>104</v>
      </c>
      <c r="B4" s="1" t="s">
        <v>44</v>
      </c>
      <c r="C4" s="1" t="s">
        <v>464</v>
      </c>
      <c r="D4" s="1" t="s">
        <v>465</v>
      </c>
      <c r="E4" s="1">
        <v>2025</v>
      </c>
      <c r="F4" s="1" t="s">
        <v>462</v>
      </c>
      <c r="G4" s="10" t="s">
        <v>307</v>
      </c>
      <c r="H4" s="10" t="s">
        <v>424</v>
      </c>
      <c r="I4" s="10" t="s">
        <v>424</v>
      </c>
    </row>
    <row r="5" spans="1:9" x14ac:dyDescent="0.45">
      <c r="A5" s="1" t="s">
        <v>473</v>
      </c>
      <c r="B5" s="1" t="s">
        <v>337</v>
      </c>
      <c r="C5" s="1" t="s">
        <v>474</v>
      </c>
      <c r="D5" s="1" t="s">
        <v>475</v>
      </c>
      <c r="E5" s="1">
        <v>2025</v>
      </c>
      <c r="F5" s="1" t="s">
        <v>477</v>
      </c>
      <c r="G5" s="10" t="s">
        <v>424</v>
      </c>
      <c r="H5" s="10" t="s">
        <v>307</v>
      </c>
      <c r="I5" s="10" t="s">
        <v>424</v>
      </c>
    </row>
    <row r="6" spans="1:9" x14ac:dyDescent="0.45">
      <c r="A6" s="1" t="s">
        <v>99</v>
      </c>
      <c r="B6" s="1" t="s">
        <v>9</v>
      </c>
      <c r="C6" s="1" t="s">
        <v>488</v>
      </c>
      <c r="D6" s="1" t="s">
        <v>489</v>
      </c>
      <c r="E6" s="1">
        <v>2025</v>
      </c>
      <c r="F6" s="1" t="s">
        <v>490</v>
      </c>
      <c r="G6" s="10" t="s">
        <v>307</v>
      </c>
      <c r="H6" s="10" t="s">
        <v>424</v>
      </c>
      <c r="I6" s="10" t="s">
        <v>424</v>
      </c>
    </row>
    <row r="7" spans="1:9" x14ac:dyDescent="0.45">
      <c r="A7" s="1" t="s">
        <v>325</v>
      </c>
      <c r="B7" s="1" t="s">
        <v>163</v>
      </c>
      <c r="C7" s="1" t="s">
        <v>506</v>
      </c>
      <c r="D7" s="1" t="s">
        <v>507</v>
      </c>
      <c r="E7" s="1">
        <v>2025</v>
      </c>
      <c r="F7" s="1" t="s">
        <v>509</v>
      </c>
      <c r="G7" s="10" t="s">
        <v>307</v>
      </c>
      <c r="H7" s="10" t="s">
        <v>424</v>
      </c>
      <c r="I7" s="10" t="s">
        <v>424</v>
      </c>
    </row>
    <row r="8" spans="1:9" x14ac:dyDescent="0.45">
      <c r="A8" s="1" t="s">
        <v>521</v>
      </c>
      <c r="B8" s="1" t="s">
        <v>331</v>
      </c>
      <c r="C8" s="1" t="s">
        <v>519</v>
      </c>
      <c r="D8" s="1" t="s">
        <v>520</v>
      </c>
      <c r="E8" s="1">
        <v>2026</v>
      </c>
      <c r="F8" s="1" t="s">
        <v>522</v>
      </c>
      <c r="G8" s="10" t="s">
        <v>424</v>
      </c>
      <c r="H8" s="10" t="s">
        <v>307</v>
      </c>
      <c r="I8" s="10" t="s">
        <v>424</v>
      </c>
    </row>
    <row r="9" spans="1:9" x14ac:dyDescent="0.45">
      <c r="A9" s="1" t="s">
        <v>90</v>
      </c>
      <c r="B9" s="1" t="s">
        <v>14</v>
      </c>
      <c r="C9" s="1" t="s">
        <v>539</v>
      </c>
      <c r="D9" s="1" t="s">
        <v>538</v>
      </c>
      <c r="E9" s="1">
        <v>2025</v>
      </c>
      <c r="F9" s="1" t="s">
        <v>540</v>
      </c>
      <c r="G9" s="10" t="s">
        <v>307</v>
      </c>
      <c r="H9" s="10" t="s">
        <v>424</v>
      </c>
      <c r="I9" s="10" t="s">
        <v>424</v>
      </c>
    </row>
    <row r="10" spans="1:9" x14ac:dyDescent="0.45">
      <c r="A10" s="1" t="s">
        <v>545</v>
      </c>
      <c r="B10" s="1" t="s">
        <v>336</v>
      </c>
      <c r="C10" s="1" t="s">
        <v>546</v>
      </c>
      <c r="D10" s="1" t="s">
        <v>547</v>
      </c>
      <c r="E10" s="1">
        <v>2025</v>
      </c>
      <c r="F10" s="1" t="s">
        <v>549</v>
      </c>
      <c r="G10" s="10" t="s">
        <v>307</v>
      </c>
      <c r="H10" s="10" t="s">
        <v>424</v>
      </c>
      <c r="I10" s="10" t="s">
        <v>424</v>
      </c>
    </row>
    <row r="11" spans="1:9" x14ac:dyDescent="0.45">
      <c r="A11" s="1" t="s">
        <v>94</v>
      </c>
      <c r="B11" s="1" t="s">
        <v>17</v>
      </c>
      <c r="C11" s="1" t="s">
        <v>556</v>
      </c>
      <c r="D11" s="1" t="s">
        <v>557</v>
      </c>
      <c r="E11" s="1">
        <v>2023</v>
      </c>
      <c r="F11" s="1" t="s">
        <v>79</v>
      </c>
      <c r="G11" s="10" t="s">
        <v>307</v>
      </c>
      <c r="H11" s="10" t="s">
        <v>424</v>
      </c>
      <c r="I11" s="10" t="s">
        <v>424</v>
      </c>
    </row>
    <row r="12" spans="1:9" x14ac:dyDescent="0.45">
      <c r="A12" s="1" t="s">
        <v>91</v>
      </c>
      <c r="B12" s="1" t="s">
        <v>61</v>
      </c>
      <c r="C12" s="1" t="s">
        <v>564</v>
      </c>
      <c r="D12" s="1" t="s">
        <v>565</v>
      </c>
      <c r="E12" s="1">
        <v>2025</v>
      </c>
      <c r="F12" s="1" t="s">
        <v>569</v>
      </c>
      <c r="G12" s="10" t="s">
        <v>307</v>
      </c>
      <c r="H12" s="10" t="s">
        <v>424</v>
      </c>
      <c r="I12" s="10" t="s">
        <v>424</v>
      </c>
    </row>
    <row r="13" spans="1:9" x14ac:dyDescent="0.45">
      <c r="A13" s="1" t="s">
        <v>581</v>
      </c>
      <c r="B13" s="1" t="s">
        <v>335</v>
      </c>
      <c r="C13" s="1" t="s">
        <v>580</v>
      </c>
      <c r="D13" s="1" t="s">
        <v>579</v>
      </c>
      <c r="E13" s="1">
        <v>2025</v>
      </c>
      <c r="F13" s="1" t="s">
        <v>582</v>
      </c>
      <c r="G13" s="10" t="s">
        <v>307</v>
      </c>
      <c r="H13" s="10" t="s">
        <v>424</v>
      </c>
      <c r="I13" s="10" t="s">
        <v>424</v>
      </c>
    </row>
    <row r="14" spans="1:9" x14ac:dyDescent="0.45">
      <c r="A14" s="1" t="s">
        <v>588</v>
      </c>
      <c r="B14" s="1" t="s">
        <v>46</v>
      </c>
      <c r="C14" s="1" t="s">
        <v>589</v>
      </c>
      <c r="D14" s="1" t="s">
        <v>489</v>
      </c>
      <c r="E14" s="1">
        <v>2025</v>
      </c>
      <c r="F14" s="1" t="s">
        <v>591</v>
      </c>
      <c r="G14" s="10" t="s">
        <v>307</v>
      </c>
      <c r="H14" s="10" t="s">
        <v>424</v>
      </c>
      <c r="I14" s="10" t="s">
        <v>424</v>
      </c>
    </row>
    <row r="15" spans="1:9" x14ac:dyDescent="0.45">
      <c r="A15" s="1" t="s">
        <v>599</v>
      </c>
      <c r="B15" s="1" t="s">
        <v>339</v>
      </c>
      <c r="C15" s="1" t="s">
        <v>600</v>
      </c>
      <c r="D15" s="1" t="s">
        <v>601</v>
      </c>
      <c r="E15" s="1">
        <v>2026</v>
      </c>
      <c r="F15" s="1" t="s">
        <v>603</v>
      </c>
      <c r="G15" s="10" t="s">
        <v>307</v>
      </c>
      <c r="H15" s="10" t="s">
        <v>424</v>
      </c>
      <c r="I15" s="10" t="s">
        <v>424</v>
      </c>
    </row>
    <row r="16" spans="1:9" x14ac:dyDescent="0.45">
      <c r="A16" s="1" t="s">
        <v>98</v>
      </c>
      <c r="B16" s="1" t="s">
        <v>18</v>
      </c>
      <c r="C16" s="1" t="s">
        <v>612</v>
      </c>
      <c r="D16" s="1" t="s">
        <v>613</v>
      </c>
      <c r="E16" s="1">
        <v>2022</v>
      </c>
      <c r="F16" s="1" t="s">
        <v>614</v>
      </c>
      <c r="G16" s="10" t="s">
        <v>307</v>
      </c>
      <c r="H16" s="10" t="s">
        <v>424</v>
      </c>
      <c r="I16" s="10" t="s">
        <v>424</v>
      </c>
    </row>
    <row r="17" spans="1:9" x14ac:dyDescent="0.45">
      <c r="A17" s="1" t="s">
        <v>100</v>
      </c>
      <c r="B17" s="1" t="s">
        <v>10</v>
      </c>
      <c r="C17" s="1" t="s">
        <v>621</v>
      </c>
      <c r="D17" s="1" t="s">
        <v>622</v>
      </c>
      <c r="E17" s="1">
        <v>2022</v>
      </c>
      <c r="F17" s="1" t="s">
        <v>623</v>
      </c>
      <c r="G17" s="10" t="s">
        <v>307</v>
      </c>
      <c r="H17" s="10" t="s">
        <v>424</v>
      </c>
      <c r="I17" s="10" t="s">
        <v>424</v>
      </c>
    </row>
    <row r="18" spans="1:9" x14ac:dyDescent="0.45">
      <c r="A18" s="1" t="s">
        <v>319</v>
      </c>
      <c r="B18" s="1" t="s">
        <v>13</v>
      </c>
      <c r="C18" s="1" t="s">
        <v>631</v>
      </c>
      <c r="D18" s="1" t="s">
        <v>632</v>
      </c>
      <c r="E18" s="1">
        <v>2025</v>
      </c>
      <c r="F18" s="1" t="s">
        <v>633</v>
      </c>
      <c r="G18" s="10" t="s">
        <v>307</v>
      </c>
      <c r="H18" s="10" t="s">
        <v>424</v>
      </c>
      <c r="I18" s="10" t="s">
        <v>424</v>
      </c>
    </row>
    <row r="19" spans="1:9" x14ac:dyDescent="0.45">
      <c r="A19" s="1" t="s">
        <v>106</v>
      </c>
      <c r="B19" s="1" t="s">
        <v>20</v>
      </c>
      <c r="C19" s="1" t="s">
        <v>641</v>
      </c>
      <c r="D19" s="1" t="s">
        <v>642</v>
      </c>
      <c r="E19" s="1">
        <v>2024</v>
      </c>
      <c r="F19" s="1" t="s">
        <v>644</v>
      </c>
      <c r="G19" s="10" t="s">
        <v>307</v>
      </c>
      <c r="H19" s="10" t="s">
        <v>424</v>
      </c>
      <c r="I19" s="10" t="s">
        <v>424</v>
      </c>
    </row>
    <row r="20" spans="1:9" x14ac:dyDescent="0.45">
      <c r="A20" s="1" t="s">
        <v>649</v>
      </c>
      <c r="B20" s="1" t="s">
        <v>329</v>
      </c>
      <c r="C20" s="1" t="s">
        <v>650</v>
      </c>
      <c r="D20" s="1" t="s">
        <v>651</v>
      </c>
      <c r="E20" s="1">
        <v>2025</v>
      </c>
      <c r="F20" s="1" t="s">
        <v>653</v>
      </c>
      <c r="G20" s="10" t="s">
        <v>307</v>
      </c>
      <c r="H20" s="10" t="s">
        <v>424</v>
      </c>
      <c r="I20" s="10" t="s">
        <v>424</v>
      </c>
    </row>
    <row r="21" spans="1:9" x14ac:dyDescent="0.45">
      <c r="A21" s="1" t="s">
        <v>658</v>
      </c>
      <c r="B21" s="1" t="s">
        <v>330</v>
      </c>
      <c r="C21" s="1" t="s">
        <v>660</v>
      </c>
      <c r="D21" s="1" t="s">
        <v>661</v>
      </c>
      <c r="E21" s="1">
        <v>2025</v>
      </c>
      <c r="F21" s="1" t="s">
        <v>662</v>
      </c>
      <c r="G21" s="10" t="s">
        <v>307</v>
      </c>
      <c r="H21" s="10" t="s">
        <v>424</v>
      </c>
      <c r="I21" s="10" t="s">
        <v>424</v>
      </c>
    </row>
    <row r="22" spans="1:9" x14ac:dyDescent="0.45">
      <c r="A22" s="1" t="s">
        <v>668</v>
      </c>
      <c r="B22" s="1" t="s">
        <v>288</v>
      </c>
      <c r="C22" s="1" t="s">
        <v>669</v>
      </c>
      <c r="D22" s="1" t="s">
        <v>670</v>
      </c>
      <c r="E22" s="1">
        <v>2025</v>
      </c>
      <c r="F22" s="1" t="s">
        <v>672</v>
      </c>
      <c r="G22" s="10" t="s">
        <v>307</v>
      </c>
      <c r="H22" s="10" t="s">
        <v>424</v>
      </c>
      <c r="I22" s="10" t="s">
        <v>424</v>
      </c>
    </row>
    <row r="23" spans="1:9" x14ac:dyDescent="0.45">
      <c r="A23" s="1" t="s">
        <v>93</v>
      </c>
      <c r="B23" s="1" t="s">
        <v>40</v>
      </c>
      <c r="C23" s="1" t="s">
        <v>681</v>
      </c>
      <c r="D23" s="1" t="s">
        <v>680</v>
      </c>
      <c r="E23" s="1">
        <v>2025</v>
      </c>
      <c r="F23" s="1" t="s">
        <v>683</v>
      </c>
      <c r="G23" s="10" t="s">
        <v>424</v>
      </c>
      <c r="H23" s="10" t="s">
        <v>424</v>
      </c>
      <c r="I23" s="10" t="s">
        <v>307</v>
      </c>
    </row>
    <row r="24" spans="1:9" x14ac:dyDescent="0.45">
      <c r="A24" s="1" t="s">
        <v>690</v>
      </c>
      <c r="B24" s="1" t="s">
        <v>161</v>
      </c>
      <c r="C24" s="1" t="s">
        <v>692</v>
      </c>
      <c r="D24" s="1" t="s">
        <v>693</v>
      </c>
      <c r="E24" s="1">
        <v>2025</v>
      </c>
      <c r="F24" s="1" t="s">
        <v>689</v>
      </c>
      <c r="G24" s="10" t="s">
        <v>307</v>
      </c>
      <c r="H24" s="10" t="s">
        <v>424</v>
      </c>
      <c r="I24" s="10" t="s">
        <v>424</v>
      </c>
    </row>
    <row r="25" spans="1:9" x14ac:dyDescent="0.45">
      <c r="A25" s="1" t="s">
        <v>103</v>
      </c>
      <c r="B25" s="1" t="s">
        <v>42</v>
      </c>
      <c r="C25" s="1" t="s">
        <v>703</v>
      </c>
      <c r="D25" s="1" t="s">
        <v>704</v>
      </c>
      <c r="E25" s="1">
        <v>2025</v>
      </c>
      <c r="F25" s="1" t="s">
        <v>705</v>
      </c>
      <c r="G25" s="10" t="s">
        <v>424</v>
      </c>
      <c r="H25" s="10" t="s">
        <v>424</v>
      </c>
      <c r="I25" s="10" t="s">
        <v>307</v>
      </c>
    </row>
    <row r="26" spans="1:9" x14ac:dyDescent="0.45">
      <c r="A26" s="1" t="s">
        <v>708</v>
      </c>
      <c r="B26" s="1" t="s">
        <v>340</v>
      </c>
      <c r="C26" s="1" t="s">
        <v>711</v>
      </c>
      <c r="D26" s="1" t="s">
        <v>712</v>
      </c>
      <c r="E26" s="1">
        <v>2026</v>
      </c>
      <c r="F26" s="1" t="s">
        <v>717</v>
      </c>
      <c r="G26" s="10" t="s">
        <v>307</v>
      </c>
      <c r="H26" s="10" t="s">
        <v>424</v>
      </c>
      <c r="I26" s="10" t="s">
        <v>424</v>
      </c>
    </row>
    <row r="27" spans="1:9" x14ac:dyDescent="0.45">
      <c r="A27" s="1" t="s">
        <v>724</v>
      </c>
      <c r="B27" s="1" t="s">
        <v>343</v>
      </c>
      <c r="C27" s="1" t="s">
        <v>725</v>
      </c>
      <c r="D27" s="1" t="s">
        <v>726</v>
      </c>
      <c r="E27" s="1">
        <v>2025</v>
      </c>
      <c r="F27" s="1" t="s">
        <v>728</v>
      </c>
      <c r="G27" s="10" t="s">
        <v>307</v>
      </c>
      <c r="H27" s="10" t="s">
        <v>424</v>
      </c>
      <c r="I27" s="10" t="s">
        <v>424</v>
      </c>
    </row>
    <row r="28" spans="1:9" x14ac:dyDescent="0.45">
      <c r="A28" s="1" t="s">
        <v>92</v>
      </c>
      <c r="B28" s="1" t="s">
        <v>41</v>
      </c>
      <c r="C28" s="1" t="s">
        <v>737</v>
      </c>
      <c r="D28" s="1" t="s">
        <v>738</v>
      </c>
      <c r="E28" s="1">
        <v>2022</v>
      </c>
      <c r="F28" s="1" t="s">
        <v>739</v>
      </c>
      <c r="G28" s="10" t="s">
        <v>307</v>
      </c>
      <c r="H28" s="10" t="s">
        <v>424</v>
      </c>
      <c r="I28" s="10" t="s">
        <v>424</v>
      </c>
    </row>
    <row r="29" spans="1:9" x14ac:dyDescent="0.45">
      <c r="A29" s="1" t="s">
        <v>105</v>
      </c>
      <c r="B29" s="1" t="s">
        <v>16</v>
      </c>
      <c r="C29" s="1" t="s">
        <v>745</v>
      </c>
      <c r="D29" s="1" t="s">
        <v>746</v>
      </c>
      <c r="E29" s="1">
        <v>2024</v>
      </c>
      <c r="F29" s="1" t="s">
        <v>749</v>
      </c>
      <c r="G29" s="10" t="s">
        <v>307</v>
      </c>
      <c r="H29" s="10" t="s">
        <v>424</v>
      </c>
      <c r="I29" s="10" t="s">
        <v>424</v>
      </c>
    </row>
    <row r="30" spans="1:9" x14ac:dyDescent="0.45">
      <c r="A30" s="1" t="s">
        <v>320</v>
      </c>
      <c r="B30" s="1" t="s">
        <v>299</v>
      </c>
      <c r="C30" s="1" t="s">
        <v>755</v>
      </c>
      <c r="D30" s="1" t="s">
        <v>670</v>
      </c>
      <c r="E30" s="1">
        <v>2024</v>
      </c>
      <c r="F30" s="1" t="s">
        <v>828</v>
      </c>
      <c r="G30" s="10" t="s">
        <v>307</v>
      </c>
      <c r="H30" s="10" t="s">
        <v>424</v>
      </c>
      <c r="I30" s="10" t="s">
        <v>424</v>
      </c>
    </row>
    <row r="31" spans="1:9" x14ac:dyDescent="0.45">
      <c r="A31" s="1" t="s">
        <v>96</v>
      </c>
      <c r="B31" s="1" t="s">
        <v>70</v>
      </c>
      <c r="C31" s="1" t="s">
        <v>762</v>
      </c>
      <c r="D31" s="1" t="s">
        <v>763</v>
      </c>
      <c r="E31" s="1">
        <v>2024</v>
      </c>
      <c r="F31" s="1" t="s">
        <v>765</v>
      </c>
      <c r="G31" s="10" t="s">
        <v>424</v>
      </c>
      <c r="H31" s="10" t="s">
        <v>307</v>
      </c>
      <c r="I31" s="10" t="s">
        <v>424</v>
      </c>
    </row>
    <row r="32" spans="1:9" x14ac:dyDescent="0.45">
      <c r="A32" s="1" t="s">
        <v>776</v>
      </c>
      <c r="B32" s="1" t="s">
        <v>262</v>
      </c>
      <c r="C32" s="1" t="s">
        <v>777</v>
      </c>
      <c r="D32" s="1" t="s">
        <v>778</v>
      </c>
      <c r="E32" s="1">
        <v>2025</v>
      </c>
      <c r="F32" s="1" t="s">
        <v>768</v>
      </c>
      <c r="G32" s="10" t="s">
        <v>307</v>
      </c>
      <c r="H32" s="10" t="s">
        <v>424</v>
      </c>
      <c r="I32" s="10" t="s">
        <v>424</v>
      </c>
    </row>
    <row r="33" spans="1:9" x14ac:dyDescent="0.45">
      <c r="A33" s="1" t="s">
        <v>788</v>
      </c>
      <c r="B33" s="1" t="s">
        <v>50</v>
      </c>
      <c r="C33" s="1" t="s">
        <v>789</v>
      </c>
      <c r="D33" s="1" t="s">
        <v>790</v>
      </c>
      <c r="E33" s="1">
        <v>2024</v>
      </c>
      <c r="F33" s="11" t="s">
        <v>792</v>
      </c>
      <c r="G33" s="10" t="s">
        <v>424</v>
      </c>
      <c r="H33" s="10" t="s">
        <v>307</v>
      </c>
      <c r="I33" s="10" t="s">
        <v>424</v>
      </c>
    </row>
    <row r="34" spans="1:9" x14ac:dyDescent="0.45">
      <c r="A34" s="1" t="s">
        <v>101</v>
      </c>
      <c r="B34" s="1" t="s">
        <v>11</v>
      </c>
      <c r="C34" s="1" t="s">
        <v>800</v>
      </c>
      <c r="D34" s="1" t="s">
        <v>801</v>
      </c>
      <c r="E34" s="1">
        <v>2023</v>
      </c>
      <c r="F34" s="1" t="s">
        <v>803</v>
      </c>
      <c r="G34" s="10" t="s">
        <v>307</v>
      </c>
      <c r="H34" s="10" t="s">
        <v>424</v>
      </c>
      <c r="I34" s="10" t="s">
        <v>424</v>
      </c>
    </row>
    <row r="35" spans="1:9" x14ac:dyDescent="0.45">
      <c r="A35" s="1" t="s">
        <v>317</v>
      </c>
      <c r="B35" s="1" t="s">
        <v>267</v>
      </c>
      <c r="C35" s="1" t="s">
        <v>807</v>
      </c>
      <c r="D35" s="1" t="s">
        <v>808</v>
      </c>
      <c r="E35" s="1">
        <v>2024</v>
      </c>
      <c r="F35" s="1" t="s">
        <v>809</v>
      </c>
      <c r="G35" s="10" t="s">
        <v>307</v>
      </c>
      <c r="H35" s="10" t="s">
        <v>424</v>
      </c>
      <c r="I35" s="10" t="s">
        <v>424</v>
      </c>
    </row>
    <row r="36" spans="1:9" x14ac:dyDescent="0.45">
      <c r="A36" s="1" t="s">
        <v>95</v>
      </c>
      <c r="B36" s="1" t="s">
        <v>65</v>
      </c>
      <c r="C36" s="1" t="s">
        <v>814</v>
      </c>
      <c r="D36" s="1" t="s">
        <v>815</v>
      </c>
      <c r="E36" s="1">
        <v>2023</v>
      </c>
      <c r="F36" s="1" t="s">
        <v>817</v>
      </c>
      <c r="G36" s="10" t="s">
        <v>307</v>
      </c>
      <c r="H36" s="10" t="s">
        <v>424</v>
      </c>
      <c r="I36" s="10" t="s">
        <v>424</v>
      </c>
    </row>
    <row r="37" spans="1:9" x14ac:dyDescent="0.45">
      <c r="A37" s="1" t="s">
        <v>322</v>
      </c>
      <c r="B37" s="1" t="s">
        <v>368</v>
      </c>
      <c r="C37" s="1" t="s">
        <v>829</v>
      </c>
      <c r="D37" s="1" t="s">
        <v>830</v>
      </c>
      <c r="E37" s="1">
        <v>2022</v>
      </c>
      <c r="F37" s="1" t="s">
        <v>810</v>
      </c>
      <c r="G37" s="10" t="s">
        <v>307</v>
      </c>
      <c r="H37" s="10" t="s">
        <v>424</v>
      </c>
      <c r="I37" s="10" t="s">
        <v>424</v>
      </c>
    </row>
    <row r="38" spans="1:9" x14ac:dyDescent="0.45">
      <c r="A38" s="1" t="s">
        <v>836</v>
      </c>
      <c r="B38" s="1" t="s">
        <v>371</v>
      </c>
      <c r="C38" s="1" t="s">
        <v>837</v>
      </c>
      <c r="D38" s="1" t="s">
        <v>839</v>
      </c>
      <c r="E38" s="1">
        <v>2014</v>
      </c>
      <c r="F38" s="1" t="s">
        <v>840</v>
      </c>
      <c r="G38" s="10" t="s">
        <v>307</v>
      </c>
      <c r="H38" s="10" t="s">
        <v>424</v>
      </c>
      <c r="I38" s="10" t="s">
        <v>424</v>
      </c>
    </row>
    <row r="39" spans="1:9" x14ac:dyDescent="0.45">
      <c r="A39" s="1" t="s">
        <v>321</v>
      </c>
      <c r="B39" s="1" t="s">
        <v>374</v>
      </c>
      <c r="C39" s="1" t="s">
        <v>847</v>
      </c>
      <c r="D39" s="1" t="s">
        <v>848</v>
      </c>
      <c r="E39" s="1">
        <v>2018</v>
      </c>
      <c r="F39" s="1" t="s">
        <v>849</v>
      </c>
      <c r="G39" s="10" t="s">
        <v>307</v>
      </c>
      <c r="H39" s="10" t="s">
        <v>424</v>
      </c>
      <c r="I39" s="10" t="s">
        <v>424</v>
      </c>
    </row>
    <row r="40" spans="1:9" x14ac:dyDescent="0.45">
      <c r="A40" s="1" t="s">
        <v>851</v>
      </c>
      <c r="B40" s="1" t="s">
        <v>377</v>
      </c>
      <c r="C40" s="1" t="s">
        <v>852</v>
      </c>
      <c r="D40" s="1" t="s">
        <v>853</v>
      </c>
      <c r="E40" s="1">
        <v>2021</v>
      </c>
      <c r="F40" s="1" t="s">
        <v>854</v>
      </c>
      <c r="G40" s="10" t="s">
        <v>307</v>
      </c>
      <c r="H40" s="10" t="s">
        <v>424</v>
      </c>
      <c r="I40" s="10" t="s">
        <v>424</v>
      </c>
    </row>
    <row r="41" spans="1:9" x14ac:dyDescent="0.45">
      <c r="A41" s="1" t="s">
        <v>536</v>
      </c>
      <c r="B41" s="1" t="s">
        <v>383</v>
      </c>
      <c r="C41" s="1" t="s">
        <v>860</v>
      </c>
      <c r="D41" s="1" t="s">
        <v>861</v>
      </c>
      <c r="E41" s="1">
        <v>2022</v>
      </c>
      <c r="F41" s="1" t="s">
        <v>863</v>
      </c>
      <c r="G41" s="10" t="s">
        <v>307</v>
      </c>
      <c r="H41" s="10" t="s">
        <v>424</v>
      </c>
      <c r="I41" s="10" t="s">
        <v>424</v>
      </c>
    </row>
    <row r="42" spans="1:9" x14ac:dyDescent="0.45">
      <c r="A42" s="1" t="s">
        <v>869</v>
      </c>
      <c r="B42" s="1" t="s">
        <v>66</v>
      </c>
      <c r="C42" s="1" t="s">
        <v>871</v>
      </c>
      <c r="D42" s="1" t="s">
        <v>870</v>
      </c>
      <c r="E42" s="1">
        <v>2024</v>
      </c>
      <c r="F42" s="1" t="s">
        <v>872</v>
      </c>
      <c r="G42" s="10" t="s">
        <v>307</v>
      </c>
      <c r="H42" s="10" t="s">
        <v>424</v>
      </c>
      <c r="I42" s="10" t="s">
        <v>424</v>
      </c>
    </row>
  </sheetData>
  <autoFilter ref="A1:I42" xr:uid="{6869CF4A-D03D-4908-8D43-5143C7438B6C}"/>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1175-295C-40D8-9A83-6E9CBC692270}">
  <dimension ref="A1:L42"/>
  <sheetViews>
    <sheetView zoomScale="115" zoomScaleNormal="115" workbookViewId="0">
      <selection activeCell="J32" sqref="I32:J32"/>
    </sheetView>
  </sheetViews>
  <sheetFormatPr defaultColWidth="11.3984375" defaultRowHeight="14.25" x14ac:dyDescent="0.45"/>
  <cols>
    <col min="1" max="1" width="27.73046875" customWidth="1"/>
    <col min="2" max="2" width="23.19921875" customWidth="1"/>
    <col min="3" max="3" width="15.33203125" customWidth="1"/>
    <col min="4" max="4" width="13.33203125" customWidth="1"/>
    <col min="5" max="5" width="10" customWidth="1"/>
    <col min="6" max="6" width="12" customWidth="1"/>
    <col min="7" max="7" width="15.86328125" customWidth="1"/>
    <col min="8" max="8" width="9.46484375" customWidth="1"/>
    <col min="9" max="9" width="10.9296875" customWidth="1"/>
    <col min="10" max="10" width="11.59765625" customWidth="1"/>
    <col min="11" max="11" width="14.9296875" customWidth="1"/>
    <col min="12" max="12" width="21.46484375" customWidth="1"/>
  </cols>
  <sheetData>
    <row r="1" spans="1:12" x14ac:dyDescent="0.45">
      <c r="A1" s="2" t="s">
        <v>386</v>
      </c>
      <c r="B1" s="2" t="s">
        <v>312</v>
      </c>
      <c r="C1" s="2" t="s">
        <v>907</v>
      </c>
      <c r="D1" s="2" t="s">
        <v>616</v>
      </c>
      <c r="E1" s="2" t="s">
        <v>523</v>
      </c>
      <c r="F1" s="2" t="s">
        <v>440</v>
      </c>
      <c r="G1" s="2" t="s">
        <v>460</v>
      </c>
      <c r="H1" s="2" t="s">
        <v>455</v>
      </c>
      <c r="I1" s="2" t="s">
        <v>463</v>
      </c>
      <c r="J1" s="2" t="s">
        <v>897</v>
      </c>
      <c r="K1" s="2" t="s">
        <v>468</v>
      </c>
      <c r="L1" s="2" t="s">
        <v>479</v>
      </c>
    </row>
    <row r="2" spans="1:12" x14ac:dyDescent="0.45">
      <c r="A2" s="1" t="s">
        <v>408</v>
      </c>
      <c r="B2" s="1" t="s">
        <v>314</v>
      </c>
      <c r="C2" s="1" t="s">
        <v>424</v>
      </c>
      <c r="D2" s="1" t="s">
        <v>424</v>
      </c>
      <c r="E2" s="10" t="s">
        <v>424</v>
      </c>
      <c r="F2" s="10" t="s">
        <v>307</v>
      </c>
      <c r="G2" s="10" t="s">
        <v>424</v>
      </c>
      <c r="H2" s="10" t="s">
        <v>424</v>
      </c>
      <c r="I2" s="10" t="s">
        <v>424</v>
      </c>
      <c r="J2" s="10" t="s">
        <v>307</v>
      </c>
      <c r="K2" s="10" t="s">
        <v>424</v>
      </c>
      <c r="L2" s="10" t="s">
        <v>424</v>
      </c>
    </row>
    <row r="3" spans="1:12" x14ac:dyDescent="0.45">
      <c r="A3" s="1" t="s">
        <v>443</v>
      </c>
      <c r="B3" s="1" t="s">
        <v>905</v>
      </c>
      <c r="C3" s="1" t="s">
        <v>424</v>
      </c>
      <c r="D3" s="1" t="s">
        <v>424</v>
      </c>
      <c r="E3" s="10" t="s">
        <v>424</v>
      </c>
      <c r="F3" s="10" t="s">
        <v>424</v>
      </c>
      <c r="G3" s="10" t="s">
        <v>307</v>
      </c>
      <c r="H3" s="10" t="s">
        <v>307</v>
      </c>
      <c r="I3" s="10" t="s">
        <v>424</v>
      </c>
      <c r="J3" s="10" t="s">
        <v>424</v>
      </c>
      <c r="K3" s="10" t="s">
        <v>424</v>
      </c>
      <c r="L3" s="10" t="s">
        <v>424</v>
      </c>
    </row>
    <row r="4" spans="1:12" x14ac:dyDescent="0.45">
      <c r="A4" s="1" t="s">
        <v>464</v>
      </c>
      <c r="B4" s="1" t="s">
        <v>903</v>
      </c>
      <c r="C4" s="1" t="s">
        <v>424</v>
      </c>
      <c r="D4" s="1" t="s">
        <v>424</v>
      </c>
      <c r="E4" s="10" t="s">
        <v>424</v>
      </c>
      <c r="F4" s="10" t="s">
        <v>424</v>
      </c>
      <c r="G4" s="10" t="s">
        <v>307</v>
      </c>
      <c r="H4" s="10" t="s">
        <v>424</v>
      </c>
      <c r="I4" s="10" t="s">
        <v>424</v>
      </c>
      <c r="J4" s="10" t="s">
        <v>307</v>
      </c>
      <c r="K4" s="10" t="s">
        <v>424</v>
      </c>
      <c r="L4" s="10" t="s">
        <v>424</v>
      </c>
    </row>
    <row r="5" spans="1:12" x14ac:dyDescent="0.45">
      <c r="A5" s="1" t="s">
        <v>474</v>
      </c>
      <c r="B5" s="1" t="s">
        <v>909</v>
      </c>
      <c r="C5" s="1" t="s">
        <v>307</v>
      </c>
      <c r="D5" s="1" t="s">
        <v>307</v>
      </c>
      <c r="E5" s="10" t="s">
        <v>307</v>
      </c>
      <c r="F5" s="10" t="s">
        <v>424</v>
      </c>
      <c r="G5" s="10" t="s">
        <v>307</v>
      </c>
      <c r="H5" s="10" t="s">
        <v>424</v>
      </c>
      <c r="I5" s="10" t="s">
        <v>424</v>
      </c>
      <c r="J5" s="10" t="s">
        <v>307</v>
      </c>
      <c r="K5" s="10" t="s">
        <v>424</v>
      </c>
      <c r="L5" s="10" t="s">
        <v>307</v>
      </c>
    </row>
    <row r="6" spans="1:12" x14ac:dyDescent="0.45">
      <c r="A6" s="1" t="s">
        <v>488</v>
      </c>
      <c r="B6" s="1" t="s">
        <v>903</v>
      </c>
      <c r="C6" s="1" t="s">
        <v>424</v>
      </c>
      <c r="D6" s="1" t="s">
        <v>424</v>
      </c>
      <c r="E6" s="10" t="s">
        <v>424</v>
      </c>
      <c r="F6" s="10" t="s">
        <v>424</v>
      </c>
      <c r="G6" s="10" t="s">
        <v>307</v>
      </c>
      <c r="H6" s="10" t="s">
        <v>424</v>
      </c>
      <c r="I6" s="10" t="s">
        <v>424</v>
      </c>
      <c r="J6" s="10" t="s">
        <v>307</v>
      </c>
      <c r="K6" s="10" t="s">
        <v>424</v>
      </c>
      <c r="L6" s="10" t="s">
        <v>424</v>
      </c>
    </row>
    <row r="7" spans="1:12" x14ac:dyDescent="0.45">
      <c r="A7" s="1" t="s">
        <v>506</v>
      </c>
      <c r="B7" s="1" t="s">
        <v>890</v>
      </c>
      <c r="C7" s="1" t="s">
        <v>307</v>
      </c>
      <c r="D7" s="1" t="s">
        <v>307</v>
      </c>
      <c r="E7" s="10" t="s">
        <v>307</v>
      </c>
      <c r="F7" s="10" t="s">
        <v>307</v>
      </c>
      <c r="G7" s="10" t="s">
        <v>307</v>
      </c>
      <c r="H7" s="10" t="s">
        <v>307</v>
      </c>
      <c r="I7" s="10" t="s">
        <v>307</v>
      </c>
      <c r="J7" s="10" t="s">
        <v>307</v>
      </c>
      <c r="K7" s="10" t="s">
        <v>424</v>
      </c>
      <c r="L7" s="10" t="s">
        <v>424</v>
      </c>
    </row>
    <row r="8" spans="1:12" x14ac:dyDescent="0.45">
      <c r="A8" s="1" t="s">
        <v>519</v>
      </c>
      <c r="B8" s="1" t="s">
        <v>508</v>
      </c>
      <c r="C8" s="1" t="s">
        <v>307</v>
      </c>
      <c r="D8" s="1" t="s">
        <v>307</v>
      </c>
      <c r="E8" s="10" t="s">
        <v>307</v>
      </c>
      <c r="F8" s="10" t="s">
        <v>307</v>
      </c>
      <c r="G8" s="10" t="s">
        <v>424</v>
      </c>
      <c r="H8" s="10" t="s">
        <v>307</v>
      </c>
      <c r="I8" s="10" t="s">
        <v>307</v>
      </c>
      <c r="J8" s="10" t="s">
        <v>307</v>
      </c>
      <c r="K8" s="10" t="s">
        <v>424</v>
      </c>
      <c r="L8" s="10" t="s">
        <v>307</v>
      </c>
    </row>
    <row r="9" spans="1:12" x14ac:dyDescent="0.45">
      <c r="A9" s="1" t="s">
        <v>539</v>
      </c>
      <c r="B9" s="1" t="s">
        <v>903</v>
      </c>
      <c r="C9" s="1" t="s">
        <v>424</v>
      </c>
      <c r="D9" s="1" t="s">
        <v>424</v>
      </c>
      <c r="E9" s="10" t="s">
        <v>424</v>
      </c>
      <c r="F9" s="10" t="s">
        <v>424</v>
      </c>
      <c r="G9" s="10" t="s">
        <v>307</v>
      </c>
      <c r="H9" s="10" t="s">
        <v>424</v>
      </c>
      <c r="I9" s="10" t="s">
        <v>424</v>
      </c>
      <c r="J9" s="10" t="s">
        <v>307</v>
      </c>
      <c r="K9" s="10" t="s">
        <v>424</v>
      </c>
      <c r="L9" s="10" t="s">
        <v>424</v>
      </c>
    </row>
    <row r="10" spans="1:12" x14ac:dyDescent="0.45">
      <c r="A10" s="1" t="s">
        <v>546</v>
      </c>
      <c r="B10" s="1" t="s">
        <v>903</v>
      </c>
      <c r="C10" s="1" t="s">
        <v>424</v>
      </c>
      <c r="D10" s="1" t="s">
        <v>424</v>
      </c>
      <c r="E10" s="10" t="s">
        <v>424</v>
      </c>
      <c r="F10" s="10" t="s">
        <v>424</v>
      </c>
      <c r="G10" s="10" t="s">
        <v>307</v>
      </c>
      <c r="H10" s="10" t="s">
        <v>424</v>
      </c>
      <c r="I10" s="10" t="s">
        <v>424</v>
      </c>
      <c r="J10" s="10" t="s">
        <v>307</v>
      </c>
      <c r="K10" s="10" t="s">
        <v>424</v>
      </c>
      <c r="L10" s="10" t="s">
        <v>424</v>
      </c>
    </row>
    <row r="11" spans="1:12" x14ac:dyDescent="0.45">
      <c r="A11" s="1" t="s">
        <v>556</v>
      </c>
      <c r="B11" s="1" t="s">
        <v>908</v>
      </c>
      <c r="C11" s="1" t="s">
        <v>307</v>
      </c>
      <c r="D11" s="1" t="s">
        <v>307</v>
      </c>
      <c r="E11" s="10" t="s">
        <v>307</v>
      </c>
      <c r="F11" s="10" t="s">
        <v>307</v>
      </c>
      <c r="G11" s="10" t="s">
        <v>307</v>
      </c>
      <c r="H11" s="10" t="s">
        <v>307</v>
      </c>
      <c r="I11" s="10" t="s">
        <v>307</v>
      </c>
      <c r="J11" s="10" t="s">
        <v>307</v>
      </c>
      <c r="K11" s="10" t="s">
        <v>307</v>
      </c>
      <c r="L11" s="10" t="s">
        <v>424</v>
      </c>
    </row>
    <row r="12" spans="1:12" x14ac:dyDescent="0.45">
      <c r="A12" s="1" t="s">
        <v>564</v>
      </c>
      <c r="B12" s="1" t="s">
        <v>904</v>
      </c>
      <c r="C12" s="1" t="s">
        <v>307</v>
      </c>
      <c r="D12" s="1" t="s">
        <v>307</v>
      </c>
      <c r="E12" s="12" t="s">
        <v>424</v>
      </c>
      <c r="F12" s="12" t="s">
        <v>307</v>
      </c>
      <c r="G12" s="12" t="s">
        <v>307</v>
      </c>
      <c r="H12" s="10" t="s">
        <v>424</v>
      </c>
      <c r="I12" s="10" t="s">
        <v>307</v>
      </c>
      <c r="J12" s="10" t="s">
        <v>307</v>
      </c>
      <c r="K12" s="10" t="s">
        <v>424</v>
      </c>
      <c r="L12" s="10" t="s">
        <v>424</v>
      </c>
    </row>
    <row r="13" spans="1:12" x14ac:dyDescent="0.45">
      <c r="A13" s="1" t="s">
        <v>580</v>
      </c>
      <c r="B13" s="1" t="s">
        <v>310</v>
      </c>
      <c r="C13" s="1" t="s">
        <v>424</v>
      </c>
      <c r="D13" s="1" t="s">
        <v>424</v>
      </c>
      <c r="E13" s="10" t="s">
        <v>307</v>
      </c>
      <c r="F13" s="10" t="s">
        <v>424</v>
      </c>
      <c r="G13" s="10" t="s">
        <v>424</v>
      </c>
      <c r="H13" s="10" t="s">
        <v>307</v>
      </c>
      <c r="I13" s="10" t="s">
        <v>424</v>
      </c>
      <c r="J13" s="10" t="s">
        <v>424</v>
      </c>
      <c r="K13" s="10" t="s">
        <v>424</v>
      </c>
      <c r="L13" s="10" t="s">
        <v>424</v>
      </c>
    </row>
    <row r="14" spans="1:12" x14ac:dyDescent="0.45">
      <c r="A14" s="1" t="s">
        <v>589</v>
      </c>
      <c r="B14" s="1" t="s">
        <v>904</v>
      </c>
      <c r="C14" s="1" t="s">
        <v>424</v>
      </c>
      <c r="D14" s="1" t="s">
        <v>307</v>
      </c>
      <c r="E14" s="10" t="s">
        <v>424</v>
      </c>
      <c r="F14" s="10" t="s">
        <v>424</v>
      </c>
      <c r="G14" s="10" t="s">
        <v>307</v>
      </c>
      <c r="H14" s="10" t="s">
        <v>424</v>
      </c>
      <c r="I14" s="10" t="s">
        <v>307</v>
      </c>
      <c r="J14" s="10" t="s">
        <v>307</v>
      </c>
      <c r="K14" s="10" t="s">
        <v>424</v>
      </c>
      <c r="L14" s="10" t="s">
        <v>424</v>
      </c>
    </row>
    <row r="15" spans="1:12" x14ac:dyDescent="0.45">
      <c r="A15" s="1" t="s">
        <v>600</v>
      </c>
      <c r="B15" s="1" t="s">
        <v>903</v>
      </c>
      <c r="C15" s="1" t="s">
        <v>424</v>
      </c>
      <c r="D15" s="1" t="s">
        <v>424</v>
      </c>
      <c r="E15" s="10" t="s">
        <v>424</v>
      </c>
      <c r="F15" s="10" t="s">
        <v>424</v>
      </c>
      <c r="G15" s="10" t="s">
        <v>307</v>
      </c>
      <c r="H15" s="10" t="s">
        <v>424</v>
      </c>
      <c r="I15" s="10" t="s">
        <v>424</v>
      </c>
      <c r="J15" s="10" t="s">
        <v>307</v>
      </c>
      <c r="K15" s="10" t="s">
        <v>424</v>
      </c>
      <c r="L15" s="10" t="s">
        <v>424</v>
      </c>
    </row>
    <row r="16" spans="1:12" x14ac:dyDescent="0.45">
      <c r="A16" s="1" t="s">
        <v>612</v>
      </c>
      <c r="B16" s="1" t="s">
        <v>904</v>
      </c>
      <c r="C16" s="1" t="s">
        <v>307</v>
      </c>
      <c r="D16" s="1" t="s">
        <v>307</v>
      </c>
      <c r="E16" s="10" t="s">
        <v>424</v>
      </c>
      <c r="F16" s="10" t="s">
        <v>307</v>
      </c>
      <c r="G16" s="10" t="s">
        <v>307</v>
      </c>
      <c r="H16" s="10" t="s">
        <v>307</v>
      </c>
      <c r="I16" s="10" t="s">
        <v>307</v>
      </c>
      <c r="J16" s="10" t="s">
        <v>424</v>
      </c>
      <c r="K16" s="10" t="s">
        <v>307</v>
      </c>
      <c r="L16" s="10" t="s">
        <v>424</v>
      </c>
    </row>
    <row r="17" spans="1:12" x14ac:dyDescent="0.45">
      <c r="A17" s="1" t="s">
        <v>621</v>
      </c>
      <c r="B17" s="1" t="s">
        <v>625</v>
      </c>
      <c r="C17" s="1" t="s">
        <v>424</v>
      </c>
      <c r="D17" s="1" t="s">
        <v>424</v>
      </c>
      <c r="E17" s="10" t="s">
        <v>424</v>
      </c>
      <c r="F17" s="10" t="s">
        <v>424</v>
      </c>
      <c r="G17" s="10" t="s">
        <v>307</v>
      </c>
      <c r="H17" s="10" t="s">
        <v>424</v>
      </c>
      <c r="I17" s="10" t="s">
        <v>424</v>
      </c>
      <c r="J17" s="10" t="s">
        <v>307</v>
      </c>
      <c r="K17" s="10" t="s">
        <v>424</v>
      </c>
      <c r="L17" s="10" t="s">
        <v>424</v>
      </c>
    </row>
    <row r="18" spans="1:12" x14ac:dyDescent="0.45">
      <c r="A18" s="1" t="s">
        <v>631</v>
      </c>
      <c r="B18" s="1" t="s">
        <v>314</v>
      </c>
      <c r="C18" s="1" t="s">
        <v>307</v>
      </c>
      <c r="D18" s="1" t="s">
        <v>307</v>
      </c>
      <c r="E18" s="10" t="s">
        <v>424</v>
      </c>
      <c r="F18" s="10" t="s">
        <v>307</v>
      </c>
      <c r="G18" s="10" t="s">
        <v>307</v>
      </c>
      <c r="H18" s="10" t="s">
        <v>424</v>
      </c>
      <c r="I18" s="10" t="s">
        <v>307</v>
      </c>
      <c r="J18" s="10" t="s">
        <v>307</v>
      </c>
      <c r="K18" s="10" t="s">
        <v>424</v>
      </c>
      <c r="L18" s="10" t="s">
        <v>424</v>
      </c>
    </row>
    <row r="19" spans="1:12" x14ac:dyDescent="0.45">
      <c r="A19" s="1" t="s">
        <v>641</v>
      </c>
      <c r="B19" s="1" t="s">
        <v>903</v>
      </c>
      <c r="C19" s="1" t="s">
        <v>424</v>
      </c>
      <c r="D19" s="1" t="s">
        <v>424</v>
      </c>
      <c r="E19" s="10" t="s">
        <v>424</v>
      </c>
      <c r="F19" s="10" t="s">
        <v>424</v>
      </c>
      <c r="G19" s="10" t="s">
        <v>307</v>
      </c>
      <c r="H19" s="10" t="s">
        <v>424</v>
      </c>
      <c r="I19" s="10" t="s">
        <v>424</v>
      </c>
      <c r="J19" s="10" t="s">
        <v>307</v>
      </c>
      <c r="K19" s="10" t="s">
        <v>424</v>
      </c>
      <c r="L19" s="10" t="s">
        <v>424</v>
      </c>
    </row>
    <row r="20" spans="1:12" x14ac:dyDescent="0.45">
      <c r="A20" s="1" t="s">
        <v>650</v>
      </c>
      <c r="B20" s="1" t="s">
        <v>903</v>
      </c>
      <c r="C20" s="1" t="s">
        <v>424</v>
      </c>
      <c r="D20" s="1" t="s">
        <v>424</v>
      </c>
      <c r="E20" s="10" t="s">
        <v>424</v>
      </c>
      <c r="F20" s="10" t="s">
        <v>424</v>
      </c>
      <c r="G20" s="10" t="s">
        <v>307</v>
      </c>
      <c r="H20" s="10" t="s">
        <v>424</v>
      </c>
      <c r="I20" s="10" t="s">
        <v>424</v>
      </c>
      <c r="J20" s="10" t="s">
        <v>307</v>
      </c>
      <c r="K20" s="10" t="s">
        <v>424</v>
      </c>
      <c r="L20" s="10" t="s">
        <v>424</v>
      </c>
    </row>
    <row r="21" spans="1:12" x14ac:dyDescent="0.45">
      <c r="A21" s="1" t="s">
        <v>660</v>
      </c>
      <c r="B21" s="1" t="s">
        <v>310</v>
      </c>
      <c r="C21" s="1" t="s">
        <v>424</v>
      </c>
      <c r="D21" s="1" t="s">
        <v>424</v>
      </c>
      <c r="E21" s="10" t="s">
        <v>307</v>
      </c>
      <c r="F21" s="10" t="s">
        <v>424</v>
      </c>
      <c r="G21" s="10" t="s">
        <v>424</v>
      </c>
      <c r="H21" s="10" t="s">
        <v>307</v>
      </c>
      <c r="I21" s="10" t="s">
        <v>424</v>
      </c>
      <c r="J21" s="10" t="s">
        <v>424</v>
      </c>
      <c r="K21" s="10" t="s">
        <v>424</v>
      </c>
      <c r="L21" s="10" t="s">
        <v>424</v>
      </c>
    </row>
    <row r="22" spans="1:12" x14ac:dyDescent="0.45">
      <c r="A22" s="1" t="s">
        <v>669</v>
      </c>
      <c r="B22" s="1" t="s">
        <v>903</v>
      </c>
      <c r="C22" s="1" t="s">
        <v>424</v>
      </c>
      <c r="D22" s="1" t="s">
        <v>424</v>
      </c>
      <c r="E22" s="10" t="s">
        <v>424</v>
      </c>
      <c r="F22" s="10" t="s">
        <v>424</v>
      </c>
      <c r="G22" s="10" t="s">
        <v>307</v>
      </c>
      <c r="H22" s="10" t="s">
        <v>424</v>
      </c>
      <c r="I22" s="10" t="s">
        <v>424</v>
      </c>
      <c r="J22" s="10" t="s">
        <v>307</v>
      </c>
      <c r="K22" s="10" t="s">
        <v>424</v>
      </c>
      <c r="L22" s="10" t="s">
        <v>424</v>
      </c>
    </row>
    <row r="23" spans="1:12" x14ac:dyDescent="0.45">
      <c r="A23" s="1" t="s">
        <v>762</v>
      </c>
      <c r="B23" s="1" t="s">
        <v>901</v>
      </c>
      <c r="C23" s="1" t="s">
        <v>424</v>
      </c>
      <c r="D23" s="1" t="s">
        <v>424</v>
      </c>
      <c r="E23" s="10" t="s">
        <v>424</v>
      </c>
      <c r="F23" s="10" t="s">
        <v>307</v>
      </c>
      <c r="G23" s="10" t="s">
        <v>424</v>
      </c>
      <c r="H23" s="10" t="s">
        <v>424</v>
      </c>
      <c r="I23" s="10" t="s">
        <v>424</v>
      </c>
      <c r="J23" s="10" t="s">
        <v>424</v>
      </c>
      <c r="K23" s="10" t="s">
        <v>424</v>
      </c>
      <c r="L23" s="21" t="s">
        <v>307</v>
      </c>
    </row>
    <row r="24" spans="1:12" x14ac:dyDescent="0.45">
      <c r="A24" s="1" t="s">
        <v>681</v>
      </c>
      <c r="B24" s="1" t="s">
        <v>686</v>
      </c>
      <c r="C24" s="1" t="s">
        <v>424</v>
      </c>
      <c r="D24" s="1" t="s">
        <v>424</v>
      </c>
      <c r="E24" s="10" t="s">
        <v>424</v>
      </c>
      <c r="F24" s="10" t="s">
        <v>424</v>
      </c>
      <c r="G24" s="10" t="s">
        <v>307</v>
      </c>
      <c r="H24" s="10" t="s">
        <v>424</v>
      </c>
      <c r="I24" s="10" t="s">
        <v>424</v>
      </c>
      <c r="J24" s="10" t="s">
        <v>424</v>
      </c>
      <c r="K24" s="10" t="s">
        <v>424</v>
      </c>
      <c r="L24" s="10" t="s">
        <v>307</v>
      </c>
    </row>
    <row r="25" spans="1:12" x14ac:dyDescent="0.45">
      <c r="A25" s="1" t="s">
        <v>692</v>
      </c>
      <c r="B25" s="1" t="s">
        <v>903</v>
      </c>
      <c r="C25" s="1" t="s">
        <v>424</v>
      </c>
      <c r="D25" s="1" t="s">
        <v>307</v>
      </c>
      <c r="E25" s="10" t="s">
        <v>424</v>
      </c>
      <c r="F25" s="10" t="s">
        <v>424</v>
      </c>
      <c r="G25" s="10" t="s">
        <v>307</v>
      </c>
      <c r="H25" s="10" t="s">
        <v>424</v>
      </c>
      <c r="I25" s="10" t="s">
        <v>424</v>
      </c>
      <c r="J25" s="10" t="s">
        <v>307</v>
      </c>
      <c r="K25" s="10" t="s">
        <v>307</v>
      </c>
      <c r="L25" s="10" t="s">
        <v>424</v>
      </c>
    </row>
    <row r="26" spans="1:12" x14ac:dyDescent="0.45">
      <c r="A26" s="1" t="s">
        <v>703</v>
      </c>
      <c r="B26" s="1" t="s">
        <v>625</v>
      </c>
      <c r="C26" s="1" t="s">
        <v>424</v>
      </c>
      <c r="D26" s="1" t="s">
        <v>307</v>
      </c>
      <c r="E26" s="10" t="s">
        <v>424</v>
      </c>
      <c r="F26" s="10" t="s">
        <v>424</v>
      </c>
      <c r="G26" s="10" t="s">
        <v>307</v>
      </c>
      <c r="H26" s="10" t="s">
        <v>424</v>
      </c>
      <c r="I26" s="10" t="s">
        <v>424</v>
      </c>
      <c r="J26" s="10" t="s">
        <v>307</v>
      </c>
      <c r="K26" s="10" t="s">
        <v>424</v>
      </c>
      <c r="L26" s="10" t="s">
        <v>307</v>
      </c>
    </row>
    <row r="27" spans="1:12" x14ac:dyDescent="0.45">
      <c r="A27" s="1" t="s">
        <v>711</v>
      </c>
      <c r="B27" s="1" t="s">
        <v>903</v>
      </c>
      <c r="C27" s="1" t="s">
        <v>424</v>
      </c>
      <c r="D27" s="1" t="s">
        <v>307</v>
      </c>
      <c r="E27" s="10" t="s">
        <v>424</v>
      </c>
      <c r="F27" s="10" t="s">
        <v>424</v>
      </c>
      <c r="G27" s="10" t="s">
        <v>307</v>
      </c>
      <c r="H27" s="10" t="s">
        <v>424</v>
      </c>
      <c r="I27" s="10" t="s">
        <v>424</v>
      </c>
      <c r="J27" s="10" t="s">
        <v>307</v>
      </c>
      <c r="K27" s="10" t="s">
        <v>307</v>
      </c>
      <c r="L27" s="10" t="s">
        <v>424</v>
      </c>
    </row>
    <row r="28" spans="1:12" x14ac:dyDescent="0.45">
      <c r="A28" s="1" t="s">
        <v>725</v>
      </c>
      <c r="B28" s="1" t="s">
        <v>903</v>
      </c>
      <c r="C28" s="1" t="s">
        <v>307</v>
      </c>
      <c r="D28" s="1" t="s">
        <v>424</v>
      </c>
      <c r="E28" s="10" t="s">
        <v>424</v>
      </c>
      <c r="F28" s="10" t="s">
        <v>307</v>
      </c>
      <c r="G28" s="10" t="s">
        <v>307</v>
      </c>
      <c r="H28" s="10" t="s">
        <v>424</v>
      </c>
      <c r="I28" s="10" t="s">
        <v>424</v>
      </c>
      <c r="J28" s="10" t="s">
        <v>307</v>
      </c>
      <c r="K28" s="10" t="s">
        <v>424</v>
      </c>
      <c r="L28" s="10" t="s">
        <v>424</v>
      </c>
    </row>
    <row r="29" spans="1:12" x14ac:dyDescent="0.45">
      <c r="A29" s="1" t="s">
        <v>737</v>
      </c>
      <c r="B29" s="1" t="s">
        <v>314</v>
      </c>
      <c r="C29" s="1" t="s">
        <v>424</v>
      </c>
      <c r="D29" s="1" t="s">
        <v>424</v>
      </c>
      <c r="E29" s="10" t="s">
        <v>424</v>
      </c>
      <c r="F29" s="10" t="s">
        <v>307</v>
      </c>
      <c r="G29" s="10" t="s">
        <v>424</v>
      </c>
      <c r="H29" s="10" t="s">
        <v>424</v>
      </c>
      <c r="I29" s="10" t="s">
        <v>424</v>
      </c>
      <c r="J29" s="10" t="s">
        <v>307</v>
      </c>
      <c r="K29" s="10" t="s">
        <v>424</v>
      </c>
      <c r="L29" s="10" t="s">
        <v>424</v>
      </c>
    </row>
    <row r="30" spans="1:12" x14ac:dyDescent="0.45">
      <c r="A30" s="1" t="s">
        <v>745</v>
      </c>
      <c r="B30" s="1" t="s">
        <v>903</v>
      </c>
      <c r="C30" s="1" t="s">
        <v>424</v>
      </c>
      <c r="D30" s="1" t="s">
        <v>424</v>
      </c>
      <c r="E30" s="10" t="s">
        <v>424</v>
      </c>
      <c r="F30" s="10" t="s">
        <v>424</v>
      </c>
      <c r="G30" s="10" t="s">
        <v>307</v>
      </c>
      <c r="H30" s="10" t="s">
        <v>424</v>
      </c>
      <c r="I30" s="10" t="s">
        <v>424</v>
      </c>
      <c r="J30" s="10" t="s">
        <v>307</v>
      </c>
      <c r="K30" s="10" t="s">
        <v>424</v>
      </c>
      <c r="L30" s="10" t="s">
        <v>424</v>
      </c>
    </row>
    <row r="31" spans="1:12" x14ac:dyDescent="0.45">
      <c r="A31" s="1" t="s">
        <v>755</v>
      </c>
      <c r="B31" s="1" t="s">
        <v>909</v>
      </c>
      <c r="C31" s="1" t="s">
        <v>307</v>
      </c>
      <c r="D31" s="1" t="s">
        <v>424</v>
      </c>
      <c r="E31" s="10" t="s">
        <v>307</v>
      </c>
      <c r="F31" s="10" t="s">
        <v>424</v>
      </c>
      <c r="G31" s="10" t="s">
        <v>307</v>
      </c>
      <c r="H31" s="10" t="s">
        <v>424</v>
      </c>
      <c r="I31" s="10" t="s">
        <v>424</v>
      </c>
      <c r="J31" s="10" t="s">
        <v>307</v>
      </c>
      <c r="K31" s="10" t="s">
        <v>424</v>
      </c>
      <c r="L31" s="10" t="s">
        <v>424</v>
      </c>
    </row>
    <row r="32" spans="1:12" x14ac:dyDescent="0.45">
      <c r="A32" s="1" t="s">
        <v>777</v>
      </c>
      <c r="B32" s="1" t="s">
        <v>904</v>
      </c>
      <c r="C32" s="1" t="s">
        <v>424</v>
      </c>
      <c r="D32" s="1" t="s">
        <v>307</v>
      </c>
      <c r="E32" s="10" t="s">
        <v>424</v>
      </c>
      <c r="F32" s="10" t="s">
        <v>424</v>
      </c>
      <c r="G32" s="10" t="s">
        <v>307</v>
      </c>
      <c r="H32" s="10" t="s">
        <v>424</v>
      </c>
      <c r="I32" s="10" t="s">
        <v>307</v>
      </c>
      <c r="J32" s="10" t="s">
        <v>307</v>
      </c>
      <c r="K32" s="10" t="s">
        <v>424</v>
      </c>
      <c r="L32" s="10" t="s">
        <v>424</v>
      </c>
    </row>
    <row r="33" spans="1:12" x14ac:dyDescent="0.45">
      <c r="A33" s="1" t="s">
        <v>789</v>
      </c>
      <c r="B33" s="1" t="s">
        <v>903</v>
      </c>
      <c r="C33" s="1" t="s">
        <v>424</v>
      </c>
      <c r="D33" s="1" t="s">
        <v>424</v>
      </c>
      <c r="E33" s="10" t="s">
        <v>424</v>
      </c>
      <c r="F33" s="10" t="s">
        <v>424</v>
      </c>
      <c r="G33" s="10" t="s">
        <v>307</v>
      </c>
      <c r="H33" s="10" t="s">
        <v>424</v>
      </c>
      <c r="I33" s="10" t="s">
        <v>424</v>
      </c>
      <c r="J33" s="10" t="s">
        <v>424</v>
      </c>
      <c r="K33" s="10" t="s">
        <v>424</v>
      </c>
      <c r="L33" s="10" t="s">
        <v>307</v>
      </c>
    </row>
    <row r="34" spans="1:12" x14ac:dyDescent="0.45">
      <c r="A34" s="1" t="s">
        <v>800</v>
      </c>
      <c r="B34" s="1" t="s">
        <v>902</v>
      </c>
      <c r="C34" s="1" t="s">
        <v>307</v>
      </c>
      <c r="D34" s="1" t="s">
        <v>307</v>
      </c>
      <c r="E34" s="10" t="s">
        <v>424</v>
      </c>
      <c r="F34" s="10" t="s">
        <v>307</v>
      </c>
      <c r="G34" s="10" t="s">
        <v>307</v>
      </c>
      <c r="H34" s="10" t="s">
        <v>424</v>
      </c>
      <c r="I34" s="10" t="s">
        <v>307</v>
      </c>
      <c r="J34" s="10" t="s">
        <v>307</v>
      </c>
      <c r="K34" s="10" t="s">
        <v>424</v>
      </c>
      <c r="L34" s="10" t="s">
        <v>424</v>
      </c>
    </row>
    <row r="35" spans="1:12" x14ac:dyDescent="0.45">
      <c r="A35" s="1" t="s">
        <v>807</v>
      </c>
      <c r="B35" s="1" t="s">
        <v>625</v>
      </c>
      <c r="C35" s="1" t="s">
        <v>424</v>
      </c>
      <c r="D35" s="1" t="s">
        <v>424</v>
      </c>
      <c r="E35" s="10" t="s">
        <v>424</v>
      </c>
      <c r="F35" s="10" t="s">
        <v>424</v>
      </c>
      <c r="G35" s="10" t="s">
        <v>307</v>
      </c>
      <c r="H35" s="10" t="s">
        <v>424</v>
      </c>
      <c r="I35" s="10" t="s">
        <v>424</v>
      </c>
      <c r="J35" s="10" t="s">
        <v>307</v>
      </c>
      <c r="K35" s="10" t="s">
        <v>424</v>
      </c>
      <c r="L35" s="10" t="s">
        <v>424</v>
      </c>
    </row>
    <row r="36" spans="1:12" x14ac:dyDescent="0.45">
      <c r="A36" s="1" t="s">
        <v>814</v>
      </c>
      <c r="B36" s="1" t="s">
        <v>819</v>
      </c>
      <c r="C36" s="1" t="s">
        <v>424</v>
      </c>
      <c r="D36" s="1" t="s">
        <v>424</v>
      </c>
      <c r="E36" s="10" t="s">
        <v>424</v>
      </c>
      <c r="F36" s="10" t="s">
        <v>424</v>
      </c>
      <c r="G36" s="10" t="s">
        <v>307</v>
      </c>
      <c r="H36" s="10" t="s">
        <v>424</v>
      </c>
      <c r="I36" s="10" t="s">
        <v>424</v>
      </c>
      <c r="J36" s="10" t="s">
        <v>307</v>
      </c>
      <c r="K36" s="10" t="s">
        <v>424</v>
      </c>
      <c r="L36" s="10" t="s">
        <v>424</v>
      </c>
    </row>
    <row r="37" spans="1:12" x14ac:dyDescent="0.45">
      <c r="A37" s="1" t="s">
        <v>829</v>
      </c>
      <c r="B37" s="1" t="s">
        <v>314</v>
      </c>
      <c r="C37" s="1" t="s">
        <v>424</v>
      </c>
      <c r="D37" s="1" t="s">
        <v>424</v>
      </c>
      <c r="E37" s="10" t="s">
        <v>424</v>
      </c>
      <c r="F37" s="10" t="s">
        <v>307</v>
      </c>
      <c r="G37" s="10" t="s">
        <v>424</v>
      </c>
      <c r="H37" s="10" t="s">
        <v>424</v>
      </c>
      <c r="I37" s="10" t="s">
        <v>424</v>
      </c>
      <c r="J37" s="10" t="s">
        <v>307</v>
      </c>
      <c r="K37" s="10" t="s">
        <v>424</v>
      </c>
      <c r="L37" s="10" t="s">
        <v>424</v>
      </c>
    </row>
    <row r="38" spans="1:12" x14ac:dyDescent="0.45">
      <c r="A38" s="1" t="s">
        <v>837</v>
      </c>
      <c r="B38" s="1" t="s">
        <v>903</v>
      </c>
      <c r="C38" s="1" t="s">
        <v>424</v>
      </c>
      <c r="D38" s="1" t="s">
        <v>424</v>
      </c>
      <c r="E38" s="10" t="s">
        <v>424</v>
      </c>
      <c r="F38" s="10" t="s">
        <v>424</v>
      </c>
      <c r="G38" s="10" t="s">
        <v>307</v>
      </c>
      <c r="H38" s="10" t="s">
        <v>424</v>
      </c>
      <c r="I38" s="10" t="s">
        <v>424</v>
      </c>
      <c r="J38" s="10" t="s">
        <v>307</v>
      </c>
      <c r="K38" s="10" t="s">
        <v>424</v>
      </c>
      <c r="L38" s="10" t="s">
        <v>424</v>
      </c>
    </row>
    <row r="39" spans="1:12" x14ac:dyDescent="0.45">
      <c r="A39" s="1" t="s">
        <v>847</v>
      </c>
      <c r="B39" s="1" t="s">
        <v>625</v>
      </c>
      <c r="C39" s="1" t="s">
        <v>424</v>
      </c>
      <c r="D39" s="1" t="s">
        <v>424</v>
      </c>
      <c r="E39" s="10" t="s">
        <v>424</v>
      </c>
      <c r="F39" s="10" t="s">
        <v>424</v>
      </c>
      <c r="G39" s="10" t="s">
        <v>307</v>
      </c>
      <c r="H39" s="10" t="s">
        <v>424</v>
      </c>
      <c r="I39" s="10" t="s">
        <v>424</v>
      </c>
      <c r="J39" s="10" t="s">
        <v>307</v>
      </c>
      <c r="K39" s="10" t="s">
        <v>424</v>
      </c>
      <c r="L39" s="10" t="s">
        <v>424</v>
      </c>
    </row>
    <row r="40" spans="1:12" x14ac:dyDescent="0.45">
      <c r="A40" s="1" t="s">
        <v>852</v>
      </c>
      <c r="B40" s="1" t="s">
        <v>906</v>
      </c>
      <c r="C40" s="1" t="s">
        <v>424</v>
      </c>
      <c r="D40" s="1" t="s">
        <v>424</v>
      </c>
      <c r="E40" s="10" t="s">
        <v>424</v>
      </c>
      <c r="F40" s="10" t="s">
        <v>307</v>
      </c>
      <c r="G40" s="10" t="s">
        <v>424</v>
      </c>
      <c r="H40" s="10" t="s">
        <v>307</v>
      </c>
      <c r="I40" s="10" t="s">
        <v>424</v>
      </c>
      <c r="J40" s="10" t="s">
        <v>424</v>
      </c>
      <c r="K40" s="10" t="s">
        <v>424</v>
      </c>
      <c r="L40" s="10" t="s">
        <v>424</v>
      </c>
    </row>
    <row r="41" spans="1:12" x14ac:dyDescent="0.45">
      <c r="A41" s="1" t="s">
        <v>860</v>
      </c>
      <c r="B41" s="1" t="s">
        <v>902</v>
      </c>
      <c r="C41" s="1" t="s">
        <v>424</v>
      </c>
      <c r="D41" s="1" t="s">
        <v>307</v>
      </c>
      <c r="E41" s="10" t="s">
        <v>424</v>
      </c>
      <c r="F41" s="10" t="s">
        <v>307</v>
      </c>
      <c r="G41" s="10" t="s">
        <v>424</v>
      </c>
      <c r="H41" s="10" t="s">
        <v>424</v>
      </c>
      <c r="I41" s="10" t="s">
        <v>307</v>
      </c>
      <c r="J41" s="10" t="s">
        <v>307</v>
      </c>
      <c r="K41" s="10" t="s">
        <v>424</v>
      </c>
      <c r="L41" s="10" t="s">
        <v>424</v>
      </c>
    </row>
    <row r="42" spans="1:12" x14ac:dyDescent="0.45">
      <c r="A42" s="1" t="s">
        <v>871</v>
      </c>
      <c r="B42" s="1" t="s">
        <v>904</v>
      </c>
      <c r="C42" s="1" t="s">
        <v>424</v>
      </c>
      <c r="D42" s="1" t="s">
        <v>307</v>
      </c>
      <c r="E42" s="10" t="s">
        <v>424</v>
      </c>
      <c r="F42" s="10" t="s">
        <v>424</v>
      </c>
      <c r="G42" s="10" t="s">
        <v>307</v>
      </c>
      <c r="H42" s="10" t="s">
        <v>424</v>
      </c>
      <c r="I42" s="10" t="s">
        <v>307</v>
      </c>
      <c r="J42" s="10" t="s">
        <v>307</v>
      </c>
      <c r="K42" s="10" t="s">
        <v>424</v>
      </c>
      <c r="L42" s="10" t="s">
        <v>424</v>
      </c>
    </row>
  </sheetData>
  <autoFilter ref="A1:L42" xr:uid="{32C71175-295C-40D8-9A83-6E9CBC692270}"/>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3A8B-C5B3-4CBF-8665-6C75669E778A}">
  <dimension ref="A1:D32"/>
  <sheetViews>
    <sheetView workbookViewId="0">
      <selection activeCell="F11" sqref="F11"/>
    </sheetView>
  </sheetViews>
  <sheetFormatPr defaultRowHeight="14.25" x14ac:dyDescent="0.45"/>
  <cols>
    <col min="1" max="1" width="28.265625" bestFit="1" customWidth="1"/>
  </cols>
  <sheetData>
    <row r="1" spans="1:4" x14ac:dyDescent="0.45">
      <c r="A1" s="2" t="s">
        <v>312</v>
      </c>
      <c r="B1" s="2" t="s">
        <v>523</v>
      </c>
      <c r="C1" s="2" t="s">
        <v>440</v>
      </c>
      <c r="D1" s="2" t="s">
        <v>460</v>
      </c>
    </row>
    <row r="2" spans="1:4" x14ac:dyDescent="0.45">
      <c r="A2" s="1" t="s">
        <v>314</v>
      </c>
      <c r="B2" s="10" t="s">
        <v>424</v>
      </c>
      <c r="C2" s="10" t="s">
        <v>307</v>
      </c>
      <c r="D2" s="10" t="s">
        <v>424</v>
      </c>
    </row>
    <row r="3" spans="1:4" x14ac:dyDescent="0.45">
      <c r="A3" s="1" t="s">
        <v>905</v>
      </c>
      <c r="B3" s="10" t="s">
        <v>424</v>
      </c>
      <c r="C3" s="10" t="s">
        <v>424</v>
      </c>
      <c r="D3" s="10" t="s">
        <v>307</v>
      </c>
    </row>
    <row r="4" spans="1:4" x14ac:dyDescent="0.45">
      <c r="A4" s="1" t="s">
        <v>903</v>
      </c>
      <c r="B4" s="10" t="s">
        <v>424</v>
      </c>
      <c r="C4" s="10" t="s">
        <v>424</v>
      </c>
      <c r="D4" s="10" t="s">
        <v>307</v>
      </c>
    </row>
    <row r="5" spans="1:4" x14ac:dyDescent="0.45">
      <c r="A5" s="1" t="s">
        <v>903</v>
      </c>
      <c r="B5" s="10" t="s">
        <v>424</v>
      </c>
      <c r="C5" s="10" t="s">
        <v>424</v>
      </c>
      <c r="D5" s="10" t="s">
        <v>307</v>
      </c>
    </row>
    <row r="6" spans="1:4" x14ac:dyDescent="0.45">
      <c r="A6" s="1" t="s">
        <v>903</v>
      </c>
      <c r="B6" s="10" t="s">
        <v>424</v>
      </c>
      <c r="C6" s="10" t="s">
        <v>424</v>
      </c>
      <c r="D6" s="10" t="s">
        <v>307</v>
      </c>
    </row>
    <row r="7" spans="1:4" x14ac:dyDescent="0.45">
      <c r="A7" s="1" t="s">
        <v>903</v>
      </c>
      <c r="B7" s="10" t="s">
        <v>424</v>
      </c>
      <c r="C7" s="10" t="s">
        <v>424</v>
      </c>
      <c r="D7" s="10" t="s">
        <v>307</v>
      </c>
    </row>
    <row r="8" spans="1:4" x14ac:dyDescent="0.45">
      <c r="A8" s="1" t="s">
        <v>310</v>
      </c>
      <c r="B8" s="10" t="s">
        <v>307</v>
      </c>
      <c r="C8" s="10" t="s">
        <v>424</v>
      </c>
      <c r="D8" s="10" t="s">
        <v>424</v>
      </c>
    </row>
    <row r="9" spans="1:4" x14ac:dyDescent="0.45">
      <c r="A9" s="1" t="s">
        <v>904</v>
      </c>
      <c r="B9" s="10" t="s">
        <v>424</v>
      </c>
      <c r="C9" s="10" t="s">
        <v>424</v>
      </c>
      <c r="D9" s="10" t="s">
        <v>307</v>
      </c>
    </row>
    <row r="10" spans="1:4" x14ac:dyDescent="0.45">
      <c r="A10" s="1" t="s">
        <v>903</v>
      </c>
      <c r="B10" s="10" t="s">
        <v>424</v>
      </c>
      <c r="C10" s="10" t="s">
        <v>424</v>
      </c>
      <c r="D10" s="10" t="s">
        <v>307</v>
      </c>
    </row>
    <row r="11" spans="1:4" x14ac:dyDescent="0.45">
      <c r="A11" s="1" t="s">
        <v>904</v>
      </c>
      <c r="B11" s="10" t="s">
        <v>424</v>
      </c>
      <c r="C11" s="10" t="s">
        <v>307</v>
      </c>
      <c r="D11" s="10" t="s">
        <v>307</v>
      </c>
    </row>
    <row r="12" spans="1:4" x14ac:dyDescent="0.45">
      <c r="A12" s="1" t="s">
        <v>625</v>
      </c>
      <c r="B12" s="10" t="s">
        <v>424</v>
      </c>
      <c r="C12" s="10" t="s">
        <v>424</v>
      </c>
      <c r="D12" s="10" t="s">
        <v>307</v>
      </c>
    </row>
    <row r="13" spans="1:4" x14ac:dyDescent="0.45">
      <c r="A13" s="1" t="s">
        <v>903</v>
      </c>
      <c r="B13" s="10" t="s">
        <v>424</v>
      </c>
      <c r="C13" s="10" t="s">
        <v>424</v>
      </c>
      <c r="D13" s="10" t="s">
        <v>307</v>
      </c>
    </row>
    <row r="14" spans="1:4" x14ac:dyDescent="0.45">
      <c r="A14" s="1" t="s">
        <v>903</v>
      </c>
      <c r="B14" s="10" t="s">
        <v>424</v>
      </c>
      <c r="C14" s="10" t="s">
        <v>424</v>
      </c>
      <c r="D14" s="10" t="s">
        <v>307</v>
      </c>
    </row>
    <row r="15" spans="1:4" x14ac:dyDescent="0.45">
      <c r="A15" s="1" t="s">
        <v>310</v>
      </c>
      <c r="B15" s="10" t="s">
        <v>307</v>
      </c>
      <c r="C15" s="10" t="s">
        <v>424</v>
      </c>
      <c r="D15" s="10" t="s">
        <v>424</v>
      </c>
    </row>
    <row r="16" spans="1:4" x14ac:dyDescent="0.45">
      <c r="A16" s="1" t="s">
        <v>903</v>
      </c>
      <c r="B16" s="10" t="s">
        <v>424</v>
      </c>
      <c r="C16" s="10" t="s">
        <v>424</v>
      </c>
      <c r="D16" s="10" t="s">
        <v>307</v>
      </c>
    </row>
    <row r="17" spans="1:4" x14ac:dyDescent="0.45">
      <c r="A17" s="1" t="s">
        <v>901</v>
      </c>
      <c r="B17" s="1" t="s">
        <v>424</v>
      </c>
      <c r="C17" s="10" t="s">
        <v>307</v>
      </c>
      <c r="D17" s="10" t="s">
        <v>424</v>
      </c>
    </row>
    <row r="18" spans="1:4" x14ac:dyDescent="0.45">
      <c r="A18" s="1" t="s">
        <v>686</v>
      </c>
      <c r="B18" s="10" t="s">
        <v>424</v>
      </c>
      <c r="C18" s="10" t="s">
        <v>424</v>
      </c>
      <c r="D18" s="10" t="s">
        <v>307</v>
      </c>
    </row>
    <row r="19" spans="1:4" x14ac:dyDescent="0.45">
      <c r="A19" s="1" t="s">
        <v>903</v>
      </c>
      <c r="B19" s="10" t="s">
        <v>424</v>
      </c>
      <c r="C19" s="10" t="s">
        <v>424</v>
      </c>
      <c r="D19" s="10" t="s">
        <v>307</v>
      </c>
    </row>
    <row r="20" spans="1:4" x14ac:dyDescent="0.45">
      <c r="A20" s="1" t="s">
        <v>625</v>
      </c>
      <c r="B20" s="10" t="s">
        <v>424</v>
      </c>
      <c r="C20" s="10" t="s">
        <v>424</v>
      </c>
      <c r="D20" s="10" t="s">
        <v>307</v>
      </c>
    </row>
    <row r="21" spans="1:4" x14ac:dyDescent="0.45">
      <c r="A21" s="1" t="s">
        <v>903</v>
      </c>
      <c r="B21" s="10" t="s">
        <v>424</v>
      </c>
      <c r="C21" s="10" t="s">
        <v>307</v>
      </c>
      <c r="D21" s="10" t="s">
        <v>307</v>
      </c>
    </row>
    <row r="22" spans="1:4" x14ac:dyDescent="0.45">
      <c r="A22" s="1" t="s">
        <v>314</v>
      </c>
      <c r="B22" s="10" t="s">
        <v>424</v>
      </c>
      <c r="C22" s="10" t="s">
        <v>307</v>
      </c>
      <c r="D22" s="10" t="s">
        <v>424</v>
      </c>
    </row>
    <row r="23" spans="1:4" x14ac:dyDescent="0.45">
      <c r="A23" s="1" t="s">
        <v>904</v>
      </c>
      <c r="B23" s="10" t="s">
        <v>424</v>
      </c>
      <c r="C23" s="10" t="s">
        <v>424</v>
      </c>
      <c r="D23" s="10" t="s">
        <v>307</v>
      </c>
    </row>
    <row r="24" spans="1:4" x14ac:dyDescent="0.45">
      <c r="A24" s="1" t="s">
        <v>903</v>
      </c>
      <c r="B24" s="10" t="s">
        <v>424</v>
      </c>
      <c r="C24" s="10" t="s">
        <v>424</v>
      </c>
      <c r="D24" s="10" t="s">
        <v>307</v>
      </c>
    </row>
    <row r="25" spans="1:4" x14ac:dyDescent="0.45">
      <c r="A25" s="1" t="s">
        <v>625</v>
      </c>
      <c r="B25" s="10" t="s">
        <v>424</v>
      </c>
      <c r="C25" s="10" t="s">
        <v>424</v>
      </c>
      <c r="D25" s="10" t="s">
        <v>307</v>
      </c>
    </row>
    <row r="26" spans="1:4" x14ac:dyDescent="0.45">
      <c r="A26" s="1" t="s">
        <v>819</v>
      </c>
      <c r="B26" s="10" t="s">
        <v>424</v>
      </c>
      <c r="C26" s="10" t="s">
        <v>424</v>
      </c>
      <c r="D26" s="10" t="s">
        <v>307</v>
      </c>
    </row>
    <row r="27" spans="1:4" x14ac:dyDescent="0.45">
      <c r="A27" s="1" t="s">
        <v>314</v>
      </c>
      <c r="B27" s="10" t="s">
        <v>424</v>
      </c>
      <c r="C27" s="10" t="s">
        <v>307</v>
      </c>
      <c r="D27" s="10" t="s">
        <v>424</v>
      </c>
    </row>
    <row r="28" spans="1:4" x14ac:dyDescent="0.45">
      <c r="A28" s="1" t="s">
        <v>903</v>
      </c>
      <c r="B28" s="10" t="s">
        <v>424</v>
      </c>
      <c r="C28" s="10" t="s">
        <v>424</v>
      </c>
      <c r="D28" s="10" t="s">
        <v>307</v>
      </c>
    </row>
    <row r="29" spans="1:4" x14ac:dyDescent="0.45">
      <c r="A29" s="1" t="s">
        <v>625</v>
      </c>
      <c r="B29" s="10" t="s">
        <v>424</v>
      </c>
      <c r="C29" s="10" t="s">
        <v>424</v>
      </c>
      <c r="D29" s="10" t="s">
        <v>307</v>
      </c>
    </row>
    <row r="30" spans="1:4" x14ac:dyDescent="0.45">
      <c r="A30" s="1" t="s">
        <v>906</v>
      </c>
      <c r="B30" s="10" t="s">
        <v>424</v>
      </c>
      <c r="C30" s="10" t="s">
        <v>307</v>
      </c>
      <c r="D30" s="10" t="s">
        <v>424</v>
      </c>
    </row>
    <row r="31" spans="1:4" x14ac:dyDescent="0.45">
      <c r="A31" s="1" t="s">
        <v>902</v>
      </c>
      <c r="B31" s="10" t="s">
        <v>424</v>
      </c>
      <c r="C31" s="10" t="s">
        <v>307</v>
      </c>
      <c r="D31" s="10" t="s">
        <v>424</v>
      </c>
    </row>
    <row r="32" spans="1:4" x14ac:dyDescent="0.45">
      <c r="A32" s="1" t="s">
        <v>904</v>
      </c>
      <c r="B32" s="10" t="s">
        <v>424</v>
      </c>
      <c r="C32" s="10" t="s">
        <v>424</v>
      </c>
      <c r="D32" s="10" t="s">
        <v>307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E440C-683D-4CBE-9B75-E6F7430D07AB}">
  <dimension ref="A1:T42"/>
  <sheetViews>
    <sheetView topLeftCell="D1" zoomScale="85" zoomScaleNormal="85" workbookViewId="0">
      <selection activeCell="J44" sqref="J44"/>
    </sheetView>
  </sheetViews>
  <sheetFormatPr defaultRowHeight="14.25" x14ac:dyDescent="0.45"/>
  <cols>
    <col min="1" max="1" width="85.3984375" bestFit="1" customWidth="1"/>
    <col min="2" max="2" width="26" bestFit="1" customWidth="1"/>
    <col min="3" max="3" width="11.86328125" bestFit="1" customWidth="1"/>
    <col min="4" max="4" width="11.265625" bestFit="1" customWidth="1"/>
    <col min="5" max="5" width="9.265625" bestFit="1" customWidth="1"/>
    <col min="6" max="6" width="27" bestFit="1" customWidth="1"/>
    <col min="7" max="7" width="14.265625" bestFit="1" customWidth="1"/>
    <col min="8" max="11" width="14.265625" customWidth="1"/>
    <col min="12" max="12" width="31.86328125" bestFit="1" customWidth="1"/>
    <col min="13" max="13" width="18.86328125" bestFit="1" customWidth="1"/>
    <col min="14" max="14" width="13.73046875" bestFit="1" customWidth="1"/>
    <col min="15" max="15" width="21.59765625" bestFit="1" customWidth="1"/>
    <col min="16" max="16" width="18.73046875" bestFit="1" customWidth="1"/>
    <col min="17" max="17" width="23.59765625" bestFit="1" customWidth="1"/>
    <col min="18" max="18" width="14.3984375" customWidth="1"/>
    <col min="19" max="19" width="18.1328125" customWidth="1"/>
    <col min="20" max="20" width="16.265625" customWidth="1"/>
  </cols>
  <sheetData>
    <row r="1" spans="1:20" x14ac:dyDescent="0.45">
      <c r="A1" s="4" t="s">
        <v>89</v>
      </c>
      <c r="B1" s="2" t="s">
        <v>51</v>
      </c>
      <c r="C1" s="2" t="s">
        <v>386</v>
      </c>
      <c r="D1" s="2" t="s">
        <v>385</v>
      </c>
      <c r="E1" s="2" t="s">
        <v>313</v>
      </c>
      <c r="F1" s="2" t="s">
        <v>390</v>
      </c>
      <c r="G1" s="2" t="s">
        <v>402</v>
      </c>
      <c r="H1" s="2" t="s">
        <v>386</v>
      </c>
      <c r="I1" s="2" t="s">
        <v>551</v>
      </c>
      <c r="J1" s="2" t="s">
        <v>895</v>
      </c>
      <c r="K1" s="2" t="s">
        <v>894</v>
      </c>
      <c r="L1" s="2" t="s">
        <v>422</v>
      </c>
      <c r="M1" s="2" t="s">
        <v>391</v>
      </c>
      <c r="N1" s="2" t="s">
        <v>392</v>
      </c>
      <c r="O1" s="2" t="s">
        <v>393</v>
      </c>
      <c r="P1" s="2" t="s">
        <v>389</v>
      </c>
      <c r="Q1" s="2" t="s">
        <v>518</v>
      </c>
      <c r="R1" s="37" t="s">
        <v>437</v>
      </c>
      <c r="S1" s="38"/>
      <c r="T1" s="38"/>
    </row>
    <row r="2" spans="1:20" x14ac:dyDescent="0.45">
      <c r="A2" s="1" t="s">
        <v>102</v>
      </c>
      <c r="B2" s="1" t="s">
        <v>19</v>
      </c>
      <c r="C2" s="1" t="s">
        <v>408</v>
      </c>
      <c r="D2" s="1" t="s">
        <v>409</v>
      </c>
      <c r="E2" s="1">
        <v>2024</v>
      </c>
      <c r="F2" s="1" t="s">
        <v>418</v>
      </c>
      <c r="G2" s="13" t="s">
        <v>424</v>
      </c>
      <c r="H2" s="1" t="s">
        <v>408</v>
      </c>
      <c r="I2" s="1" t="s">
        <v>307</v>
      </c>
      <c r="J2" s="1" t="s">
        <v>424</v>
      </c>
      <c r="K2" s="1" t="s">
        <v>307</v>
      </c>
      <c r="L2" s="1" t="s">
        <v>423</v>
      </c>
      <c r="M2" s="1" t="s">
        <v>419</v>
      </c>
      <c r="N2" s="1" t="s">
        <v>424</v>
      </c>
      <c r="O2" s="1" t="s">
        <v>316</v>
      </c>
      <c r="P2" s="1" t="s">
        <v>467</v>
      </c>
      <c r="Q2" s="1"/>
    </row>
    <row r="3" spans="1:20" x14ac:dyDescent="0.45">
      <c r="A3" s="1" t="s">
        <v>442</v>
      </c>
      <c r="B3" s="1" t="s">
        <v>170</v>
      </c>
      <c r="C3" s="1" t="s">
        <v>443</v>
      </c>
      <c r="D3" s="1" t="s">
        <v>444</v>
      </c>
      <c r="E3" s="1">
        <v>2021</v>
      </c>
      <c r="F3" s="1" t="s">
        <v>445</v>
      </c>
      <c r="G3" s="1" t="s">
        <v>424</v>
      </c>
      <c r="H3" s="1" t="s">
        <v>443</v>
      </c>
      <c r="I3" s="1" t="s">
        <v>424</v>
      </c>
      <c r="J3" s="1" t="s">
        <v>307</v>
      </c>
      <c r="K3" s="1" t="s">
        <v>307</v>
      </c>
      <c r="L3" s="1" t="s">
        <v>447</v>
      </c>
      <c r="M3" s="1" t="s">
        <v>424</v>
      </c>
      <c r="N3" s="1" t="s">
        <v>445</v>
      </c>
      <c r="O3" s="1" t="s">
        <v>450</v>
      </c>
      <c r="P3" s="1" t="s">
        <v>448</v>
      </c>
      <c r="Q3" s="1"/>
    </row>
    <row r="4" spans="1:20" x14ac:dyDescent="0.45">
      <c r="A4" s="1" t="s">
        <v>104</v>
      </c>
      <c r="B4" s="1" t="s">
        <v>44</v>
      </c>
      <c r="C4" s="1" t="s">
        <v>464</v>
      </c>
      <c r="D4" s="1" t="s">
        <v>465</v>
      </c>
      <c r="E4" s="1">
        <v>2025</v>
      </c>
      <c r="F4" s="1" t="s">
        <v>466</v>
      </c>
      <c r="G4" s="1" t="s">
        <v>424</v>
      </c>
      <c r="H4" s="1" t="s">
        <v>464</v>
      </c>
      <c r="I4" s="1" t="s">
        <v>307</v>
      </c>
      <c r="J4" s="1" t="s">
        <v>424</v>
      </c>
      <c r="K4" s="1" t="s">
        <v>307</v>
      </c>
      <c r="L4" s="1" t="s">
        <v>423</v>
      </c>
      <c r="M4" s="1" t="s">
        <v>419</v>
      </c>
      <c r="N4" s="1" t="s">
        <v>424</v>
      </c>
      <c r="O4" s="1" t="s">
        <v>316</v>
      </c>
      <c r="P4" s="1" t="s">
        <v>467</v>
      </c>
      <c r="Q4" s="1"/>
    </row>
    <row r="5" spans="1:20" x14ac:dyDescent="0.45">
      <c r="A5" s="1" t="s">
        <v>473</v>
      </c>
      <c r="B5" s="1" t="s">
        <v>337</v>
      </c>
      <c r="C5" s="1" t="s">
        <v>474</v>
      </c>
      <c r="D5" s="1" t="s">
        <v>475</v>
      </c>
      <c r="E5" s="1">
        <v>2025</v>
      </c>
      <c r="F5" s="1" t="s">
        <v>481</v>
      </c>
      <c r="G5" s="1" t="s">
        <v>307</v>
      </c>
      <c r="H5" s="1" t="s">
        <v>474</v>
      </c>
      <c r="I5" s="1" t="s">
        <v>424</v>
      </c>
      <c r="J5" s="1" t="s">
        <v>307</v>
      </c>
      <c r="K5" s="1" t="s">
        <v>307</v>
      </c>
      <c r="L5" s="1" t="s">
        <v>447</v>
      </c>
      <c r="M5" s="1" t="s">
        <v>424</v>
      </c>
      <c r="N5" s="1" t="s">
        <v>482</v>
      </c>
      <c r="O5" s="1" t="s">
        <v>450</v>
      </c>
      <c r="P5" s="1"/>
      <c r="Q5" s="1"/>
    </row>
    <row r="6" spans="1:20" x14ac:dyDescent="0.45">
      <c r="A6" s="1" t="s">
        <v>99</v>
      </c>
      <c r="B6" s="1" t="s">
        <v>9</v>
      </c>
      <c r="C6" s="1" t="s">
        <v>488</v>
      </c>
      <c r="D6" s="1" t="s">
        <v>489</v>
      </c>
      <c r="E6" s="1">
        <v>2025</v>
      </c>
      <c r="F6" s="1" t="s">
        <v>491</v>
      </c>
      <c r="G6" s="1" t="s">
        <v>424</v>
      </c>
      <c r="L6" s="1" t="s">
        <v>423</v>
      </c>
      <c r="M6" s="1" t="s">
        <v>492</v>
      </c>
      <c r="N6" s="1" t="s">
        <v>424</v>
      </c>
      <c r="O6" s="1" t="s">
        <v>881</v>
      </c>
      <c r="P6" s="1" t="s">
        <v>493</v>
      </c>
      <c r="Q6" s="1"/>
    </row>
    <row r="7" spans="1:20" x14ac:dyDescent="0.45">
      <c r="A7" s="1" t="s">
        <v>325</v>
      </c>
      <c r="B7" s="1" t="s">
        <v>163</v>
      </c>
      <c r="C7" s="1" t="s">
        <v>506</v>
      </c>
      <c r="D7" s="1" t="s">
        <v>507</v>
      </c>
      <c r="E7" s="1">
        <v>2025</v>
      </c>
      <c r="F7" s="1" t="s">
        <v>510</v>
      </c>
      <c r="G7" s="1" t="s">
        <v>424</v>
      </c>
      <c r="H7" s="1" t="s">
        <v>506</v>
      </c>
      <c r="I7" s="1" t="s">
        <v>307</v>
      </c>
      <c r="J7" s="1" t="s">
        <v>307</v>
      </c>
      <c r="K7" s="1" t="s">
        <v>307</v>
      </c>
      <c r="L7" s="1" t="s">
        <v>513</v>
      </c>
      <c r="M7" s="1" t="s">
        <v>511</v>
      </c>
      <c r="N7" s="1" t="s">
        <v>512</v>
      </c>
      <c r="O7" s="1" t="s">
        <v>450</v>
      </c>
      <c r="P7" s="1" t="s">
        <v>424</v>
      </c>
      <c r="Q7" s="1"/>
    </row>
    <row r="8" spans="1:20" x14ac:dyDescent="0.45">
      <c r="A8" s="1" t="s">
        <v>521</v>
      </c>
      <c r="B8" s="1" t="s">
        <v>331</v>
      </c>
      <c r="C8" s="1" t="s">
        <v>519</v>
      </c>
      <c r="D8" s="1" t="s">
        <v>520</v>
      </c>
      <c r="E8" s="1">
        <v>2026</v>
      </c>
      <c r="F8" s="1" t="s">
        <v>526</v>
      </c>
      <c r="G8" s="1" t="s">
        <v>307</v>
      </c>
      <c r="H8" s="1" t="s">
        <v>519</v>
      </c>
      <c r="I8" s="1" t="s">
        <v>307</v>
      </c>
      <c r="J8" s="1" t="s">
        <v>424</v>
      </c>
      <c r="K8" s="1" t="s">
        <v>307</v>
      </c>
      <c r="L8" s="1" t="s">
        <v>423</v>
      </c>
      <c r="M8" s="1" t="s">
        <v>525</v>
      </c>
      <c r="N8" s="1" t="s">
        <v>424</v>
      </c>
      <c r="O8" s="1" t="s">
        <v>524</v>
      </c>
      <c r="P8" s="1" t="s">
        <v>528</v>
      </c>
      <c r="Q8" s="1"/>
    </row>
    <row r="9" spans="1:20" x14ac:dyDescent="0.45">
      <c r="A9" s="1" t="s">
        <v>90</v>
      </c>
      <c r="B9" s="1" t="s">
        <v>14</v>
      </c>
      <c r="C9" s="1" t="s">
        <v>539</v>
      </c>
      <c r="D9" s="1" t="s">
        <v>538</v>
      </c>
      <c r="E9" s="1">
        <v>2025</v>
      </c>
      <c r="F9" s="1" t="s">
        <v>541</v>
      </c>
      <c r="G9" s="1" t="s">
        <v>424</v>
      </c>
      <c r="H9" s="1" t="s">
        <v>539</v>
      </c>
      <c r="I9" s="1" t="s">
        <v>307</v>
      </c>
      <c r="J9" s="1" t="s">
        <v>424</v>
      </c>
      <c r="K9" s="1" t="s">
        <v>307</v>
      </c>
      <c r="L9" s="1" t="s">
        <v>423</v>
      </c>
      <c r="M9" s="1" t="s">
        <v>419</v>
      </c>
      <c r="N9" s="1" t="s">
        <v>424</v>
      </c>
      <c r="O9" s="1" t="s">
        <v>450</v>
      </c>
      <c r="P9" s="1" t="s">
        <v>424</v>
      </c>
      <c r="Q9" s="1"/>
      <c r="R9" s="39" t="s">
        <v>543</v>
      </c>
      <c r="S9" s="39"/>
      <c r="T9" s="39"/>
    </row>
    <row r="10" spans="1:20" x14ac:dyDescent="0.45">
      <c r="A10" s="1" t="s">
        <v>545</v>
      </c>
      <c r="B10" s="1" t="s">
        <v>336</v>
      </c>
      <c r="C10" s="1" t="s">
        <v>546</v>
      </c>
      <c r="D10" s="1" t="s">
        <v>547</v>
      </c>
      <c r="E10" s="1">
        <v>2025</v>
      </c>
      <c r="F10" s="1" t="s">
        <v>550</v>
      </c>
      <c r="G10" s="1" t="s">
        <v>424</v>
      </c>
      <c r="H10" s="1" t="s">
        <v>546</v>
      </c>
      <c r="I10" s="1" t="s">
        <v>307</v>
      </c>
      <c r="J10" s="1" t="s">
        <v>424</v>
      </c>
      <c r="K10" s="1" t="s">
        <v>424</v>
      </c>
      <c r="L10" s="1" t="s">
        <v>551</v>
      </c>
      <c r="M10" s="1" t="s">
        <v>419</v>
      </c>
      <c r="N10" s="1" t="s">
        <v>424</v>
      </c>
      <c r="O10" s="1" t="s">
        <v>424</v>
      </c>
      <c r="P10" s="1" t="s">
        <v>550</v>
      </c>
      <c r="Q10" s="1"/>
      <c r="R10" t="s">
        <v>552</v>
      </c>
    </row>
    <row r="11" spans="1:20" x14ac:dyDescent="0.45">
      <c r="A11" s="1" t="s">
        <v>94</v>
      </c>
      <c r="B11" s="1" t="s">
        <v>17</v>
      </c>
      <c r="C11" s="1" t="s">
        <v>556</v>
      </c>
      <c r="D11" s="1" t="s">
        <v>557</v>
      </c>
      <c r="E11" s="1">
        <v>2023</v>
      </c>
      <c r="F11" s="1" t="s">
        <v>510</v>
      </c>
      <c r="G11" s="1" t="s">
        <v>307</v>
      </c>
      <c r="H11" s="1" t="s">
        <v>564</v>
      </c>
      <c r="I11" s="1" t="s">
        <v>424</v>
      </c>
      <c r="J11" s="1" t="s">
        <v>307</v>
      </c>
      <c r="K11" s="1" t="s">
        <v>307</v>
      </c>
      <c r="L11" s="1" t="s">
        <v>513</v>
      </c>
      <c r="M11" s="1" t="s">
        <v>419</v>
      </c>
      <c r="N11" s="1" t="s">
        <v>559</v>
      </c>
      <c r="O11" s="1" t="s">
        <v>450</v>
      </c>
      <c r="P11" s="1" t="s">
        <v>424</v>
      </c>
      <c r="Q11" s="1"/>
    </row>
    <row r="12" spans="1:20" x14ac:dyDescent="0.45">
      <c r="A12" s="1" t="s">
        <v>91</v>
      </c>
      <c r="B12" s="1" t="s">
        <v>61</v>
      </c>
      <c r="C12" s="1" t="s">
        <v>564</v>
      </c>
      <c r="D12" s="1" t="s">
        <v>565</v>
      </c>
      <c r="E12" s="1">
        <v>2025</v>
      </c>
      <c r="F12" s="1" t="s">
        <v>568</v>
      </c>
      <c r="G12" s="1" t="s">
        <v>424</v>
      </c>
      <c r="H12" s="1" t="s">
        <v>580</v>
      </c>
      <c r="I12" s="1" t="s">
        <v>307</v>
      </c>
      <c r="J12" s="1" t="s">
        <v>424</v>
      </c>
      <c r="K12" s="1" t="s">
        <v>307</v>
      </c>
      <c r="L12" s="1" t="s">
        <v>447</v>
      </c>
      <c r="M12" s="1" t="s">
        <v>424</v>
      </c>
      <c r="N12" s="1" t="s">
        <v>567</v>
      </c>
      <c r="O12" s="1" t="s">
        <v>316</v>
      </c>
      <c r="P12" s="1" t="s">
        <v>424</v>
      </c>
      <c r="Q12" s="1"/>
      <c r="R12" t="s">
        <v>570</v>
      </c>
    </row>
    <row r="13" spans="1:20" x14ac:dyDescent="0.45">
      <c r="A13" s="1" t="s">
        <v>581</v>
      </c>
      <c r="B13" s="1" t="s">
        <v>335</v>
      </c>
      <c r="C13" s="1" t="s">
        <v>580</v>
      </c>
      <c r="D13" s="1" t="s">
        <v>579</v>
      </c>
      <c r="E13" s="1">
        <v>2025</v>
      </c>
      <c r="F13" s="1" t="s">
        <v>583</v>
      </c>
      <c r="G13" s="1" t="s">
        <v>307</v>
      </c>
      <c r="H13" s="1" t="s">
        <v>580</v>
      </c>
      <c r="I13" s="1" t="s">
        <v>307</v>
      </c>
      <c r="J13" s="1" t="s">
        <v>424</v>
      </c>
      <c r="K13" s="1" t="s">
        <v>307</v>
      </c>
      <c r="L13" s="1" t="s">
        <v>447</v>
      </c>
      <c r="M13" s="1" t="s">
        <v>419</v>
      </c>
      <c r="N13" s="1" t="s">
        <v>424</v>
      </c>
      <c r="O13" s="1" t="s">
        <v>450</v>
      </c>
      <c r="P13" s="1" t="s">
        <v>424</v>
      </c>
      <c r="Q13" s="1"/>
    </row>
    <row r="14" spans="1:20" x14ac:dyDescent="0.45">
      <c r="A14" s="1" t="s">
        <v>588</v>
      </c>
      <c r="B14" s="1" t="s">
        <v>46</v>
      </c>
      <c r="C14" s="1" t="s">
        <v>589</v>
      </c>
      <c r="D14" s="1" t="s">
        <v>489</v>
      </c>
      <c r="E14" s="1">
        <v>2025</v>
      </c>
      <c r="F14" s="1" t="s">
        <v>592</v>
      </c>
      <c r="G14" s="1" t="s">
        <v>424</v>
      </c>
      <c r="H14" s="1" t="s">
        <v>589</v>
      </c>
      <c r="I14" s="1" t="s">
        <v>307</v>
      </c>
      <c r="J14" s="1" t="s">
        <v>424</v>
      </c>
      <c r="K14" s="1" t="s">
        <v>307</v>
      </c>
      <c r="L14" s="1" t="s">
        <v>423</v>
      </c>
      <c r="M14" s="1" t="s">
        <v>597</v>
      </c>
      <c r="N14" s="1" t="s">
        <v>424</v>
      </c>
      <c r="O14" s="1" t="s">
        <v>316</v>
      </c>
      <c r="P14" s="1" t="s">
        <v>424</v>
      </c>
      <c r="Q14" s="1" t="s">
        <v>597</v>
      </c>
    </row>
    <row r="15" spans="1:20" x14ac:dyDescent="0.45">
      <c r="A15" s="1" t="s">
        <v>599</v>
      </c>
      <c r="B15" s="1" t="s">
        <v>339</v>
      </c>
      <c r="C15" s="1" t="s">
        <v>600</v>
      </c>
      <c r="D15" s="1" t="s">
        <v>601</v>
      </c>
      <c r="E15" s="1">
        <v>2026</v>
      </c>
      <c r="F15" s="1" t="s">
        <v>550</v>
      </c>
      <c r="G15" s="1" t="s">
        <v>424</v>
      </c>
      <c r="H15" s="1" t="s">
        <v>600</v>
      </c>
      <c r="I15" s="1" t="s">
        <v>307</v>
      </c>
      <c r="J15" s="1" t="s">
        <v>424</v>
      </c>
      <c r="K15" s="1" t="s">
        <v>307</v>
      </c>
      <c r="L15" s="1" t="s">
        <v>423</v>
      </c>
      <c r="M15" s="1" t="s">
        <v>604</v>
      </c>
      <c r="N15" s="1" t="s">
        <v>424</v>
      </c>
      <c r="O15" s="1" t="s">
        <v>450</v>
      </c>
      <c r="P15" s="1" t="s">
        <v>605</v>
      </c>
      <c r="Q15" s="1"/>
    </row>
    <row r="16" spans="1:20" x14ac:dyDescent="0.45">
      <c r="A16" s="1" t="s">
        <v>98</v>
      </c>
      <c r="B16" s="1" t="s">
        <v>18</v>
      </c>
      <c r="C16" s="1" t="s">
        <v>612</v>
      </c>
      <c r="D16" s="1" t="s">
        <v>613</v>
      </c>
      <c r="E16" s="1">
        <v>2022</v>
      </c>
      <c r="F16" s="1" t="s">
        <v>617</v>
      </c>
      <c r="G16" s="1" t="s">
        <v>424</v>
      </c>
      <c r="H16" s="1" t="s">
        <v>612</v>
      </c>
      <c r="I16" s="1" t="s">
        <v>307</v>
      </c>
      <c r="J16" s="1" t="s">
        <v>424</v>
      </c>
      <c r="K16" s="1" t="s">
        <v>307</v>
      </c>
      <c r="L16" s="1" t="s">
        <v>423</v>
      </c>
      <c r="M16" s="1" t="s">
        <v>617</v>
      </c>
      <c r="N16" s="1" t="s">
        <v>424</v>
      </c>
      <c r="O16" s="1" t="s">
        <v>450</v>
      </c>
      <c r="P16" s="1" t="s">
        <v>424</v>
      </c>
      <c r="Q16" s="1"/>
    </row>
    <row r="17" spans="1:17" x14ac:dyDescent="0.45">
      <c r="A17" s="1" t="s">
        <v>100</v>
      </c>
      <c r="B17" s="1" t="s">
        <v>10</v>
      </c>
      <c r="C17" s="1" t="s">
        <v>621</v>
      </c>
      <c r="D17" s="1" t="s">
        <v>622</v>
      </c>
      <c r="E17" s="1">
        <v>2022</v>
      </c>
      <c r="F17" s="1" t="s">
        <v>626</v>
      </c>
      <c r="G17" s="1" t="s">
        <v>424</v>
      </c>
      <c r="H17" s="1" t="s">
        <v>621</v>
      </c>
      <c r="I17" s="1" t="s">
        <v>307</v>
      </c>
      <c r="J17" s="1" t="s">
        <v>424</v>
      </c>
      <c r="K17" s="1" t="s">
        <v>307</v>
      </c>
      <c r="L17" s="1" t="s">
        <v>423</v>
      </c>
      <c r="M17" s="1" t="s">
        <v>627</v>
      </c>
      <c r="N17" s="1" t="s">
        <v>424</v>
      </c>
      <c r="O17" s="1" t="s">
        <v>450</v>
      </c>
      <c r="P17" s="1" t="s">
        <v>628</v>
      </c>
      <c r="Q17" s="1"/>
    </row>
    <row r="18" spans="1:17" x14ac:dyDescent="0.45">
      <c r="A18" s="1" t="s">
        <v>319</v>
      </c>
      <c r="B18" s="1" t="s">
        <v>13</v>
      </c>
      <c r="C18" s="1" t="s">
        <v>631</v>
      </c>
      <c r="D18" s="1" t="s">
        <v>632</v>
      </c>
      <c r="E18" s="1">
        <v>2025</v>
      </c>
      <c r="F18" s="1" t="s">
        <v>636</v>
      </c>
      <c r="G18" s="1" t="s">
        <v>307</v>
      </c>
      <c r="H18" s="1" t="s">
        <v>621</v>
      </c>
      <c r="I18" s="1" t="s">
        <v>307</v>
      </c>
      <c r="J18" s="1" t="s">
        <v>424</v>
      </c>
      <c r="K18" s="1" t="s">
        <v>307</v>
      </c>
      <c r="L18" s="1" t="s">
        <v>423</v>
      </c>
      <c r="M18" s="1" t="s">
        <v>419</v>
      </c>
      <c r="N18" s="1" t="s">
        <v>424</v>
      </c>
      <c r="O18" s="1" t="s">
        <v>524</v>
      </c>
      <c r="P18" s="1" t="s">
        <v>424</v>
      </c>
      <c r="Q18" s="1" t="s">
        <v>419</v>
      </c>
    </row>
    <row r="19" spans="1:17" x14ac:dyDescent="0.45">
      <c r="A19" s="1" t="s">
        <v>106</v>
      </c>
      <c r="B19" s="1" t="s">
        <v>20</v>
      </c>
      <c r="C19" s="1" t="s">
        <v>641</v>
      </c>
      <c r="D19" s="1" t="s">
        <v>642</v>
      </c>
      <c r="E19" s="1">
        <v>2024</v>
      </c>
      <c r="F19" s="1" t="s">
        <v>645</v>
      </c>
      <c r="G19" s="1" t="s">
        <v>424</v>
      </c>
      <c r="H19" s="1" t="s">
        <v>631</v>
      </c>
      <c r="I19" s="1" t="s">
        <v>307</v>
      </c>
      <c r="J19" s="1" t="s">
        <v>424</v>
      </c>
      <c r="K19" s="1" t="s">
        <v>307</v>
      </c>
      <c r="L19" s="1" t="s">
        <v>423</v>
      </c>
      <c r="M19" s="1" t="s">
        <v>419</v>
      </c>
      <c r="N19" s="1" t="s">
        <v>424</v>
      </c>
      <c r="O19" s="1" t="s">
        <v>450</v>
      </c>
      <c r="P19" s="1" t="s">
        <v>467</v>
      </c>
      <c r="Q19" s="1"/>
    </row>
    <row r="20" spans="1:17" x14ac:dyDescent="0.45">
      <c r="A20" s="1" t="s">
        <v>649</v>
      </c>
      <c r="B20" s="1" t="s">
        <v>329</v>
      </c>
      <c r="C20" s="1" t="s">
        <v>650</v>
      </c>
      <c r="D20" s="1" t="s">
        <v>651</v>
      </c>
      <c r="E20" s="1">
        <v>2025</v>
      </c>
      <c r="F20" s="1" t="s">
        <v>655</v>
      </c>
      <c r="G20" s="1" t="s">
        <v>307</v>
      </c>
      <c r="H20" s="1" t="s">
        <v>641</v>
      </c>
      <c r="I20" s="1" t="s">
        <v>307</v>
      </c>
      <c r="J20" s="1" t="s">
        <v>424</v>
      </c>
      <c r="K20" s="1" t="s">
        <v>307</v>
      </c>
      <c r="L20" s="1" t="s">
        <v>423</v>
      </c>
      <c r="M20" s="1" t="s">
        <v>419</v>
      </c>
      <c r="N20" s="1" t="s">
        <v>424</v>
      </c>
      <c r="O20" s="1" t="s">
        <v>654</v>
      </c>
      <c r="P20" s="1" t="s">
        <v>424</v>
      </c>
      <c r="Q20" s="1"/>
    </row>
    <row r="21" spans="1:17" x14ac:dyDescent="0.45">
      <c r="A21" s="1" t="s">
        <v>658</v>
      </c>
      <c r="B21" s="1" t="s">
        <v>330</v>
      </c>
      <c r="C21" s="1" t="s">
        <v>660</v>
      </c>
      <c r="D21" s="1" t="s">
        <v>661</v>
      </c>
      <c r="E21" s="1">
        <v>2025</v>
      </c>
      <c r="F21" s="1" t="s">
        <v>665</v>
      </c>
      <c r="G21" s="1" t="s">
        <v>424</v>
      </c>
      <c r="H21" s="1" t="s">
        <v>650</v>
      </c>
      <c r="I21" s="1" t="s">
        <v>307</v>
      </c>
      <c r="J21" s="1" t="s">
        <v>424</v>
      </c>
      <c r="K21" s="1" t="s">
        <v>307</v>
      </c>
      <c r="L21" s="1" t="s">
        <v>423</v>
      </c>
      <c r="M21" s="1" t="s">
        <v>419</v>
      </c>
      <c r="N21" s="1" t="s">
        <v>424</v>
      </c>
      <c r="O21" s="1" t="s">
        <v>450</v>
      </c>
      <c r="P21" s="1" t="s">
        <v>467</v>
      </c>
      <c r="Q21" s="1"/>
    </row>
    <row r="22" spans="1:17" x14ac:dyDescent="0.45">
      <c r="A22" s="1" t="s">
        <v>668</v>
      </c>
      <c r="B22" s="1" t="s">
        <v>288</v>
      </c>
      <c r="C22" s="1" t="s">
        <v>669</v>
      </c>
      <c r="D22" s="1" t="s">
        <v>670</v>
      </c>
      <c r="E22" s="1">
        <v>2025</v>
      </c>
      <c r="F22" s="1" t="s">
        <v>676</v>
      </c>
      <c r="G22" s="1" t="s">
        <v>307</v>
      </c>
      <c r="H22" s="1" t="s">
        <v>660</v>
      </c>
      <c r="I22" s="1" t="s">
        <v>307</v>
      </c>
      <c r="J22" s="1" t="s">
        <v>424</v>
      </c>
      <c r="K22" s="1" t="s">
        <v>307</v>
      </c>
      <c r="L22" s="1" t="s">
        <v>423</v>
      </c>
      <c r="M22" s="1" t="s">
        <v>419</v>
      </c>
      <c r="N22" s="1" t="s">
        <v>424</v>
      </c>
      <c r="O22" s="1" t="s">
        <v>675</v>
      </c>
      <c r="P22" s="1" t="s">
        <v>424</v>
      </c>
      <c r="Q22" s="1"/>
    </row>
    <row r="23" spans="1:17" x14ac:dyDescent="0.45">
      <c r="A23" s="1" t="s">
        <v>93</v>
      </c>
      <c r="B23" s="1" t="s">
        <v>40</v>
      </c>
      <c r="C23" s="1" t="s">
        <v>681</v>
      </c>
      <c r="D23" s="1" t="s">
        <v>680</v>
      </c>
      <c r="E23" s="1">
        <v>2025</v>
      </c>
      <c r="F23" s="1" t="s">
        <v>683</v>
      </c>
      <c r="G23" s="1" t="s">
        <v>307</v>
      </c>
      <c r="H23" s="1" t="s">
        <v>669</v>
      </c>
      <c r="I23" s="1" t="s">
        <v>307</v>
      </c>
      <c r="J23" s="1" t="s">
        <v>424</v>
      </c>
      <c r="K23" s="1" t="s">
        <v>307</v>
      </c>
      <c r="L23" s="1" t="s">
        <v>423</v>
      </c>
      <c r="M23" s="1" t="s">
        <v>419</v>
      </c>
      <c r="N23" s="1" t="s">
        <v>424</v>
      </c>
      <c r="O23" s="1" t="s">
        <v>450</v>
      </c>
      <c r="P23" s="1" t="s">
        <v>424</v>
      </c>
      <c r="Q23" s="1"/>
    </row>
    <row r="24" spans="1:17" x14ac:dyDescent="0.45">
      <c r="A24" s="1" t="s">
        <v>690</v>
      </c>
      <c r="B24" s="1" t="s">
        <v>161</v>
      </c>
      <c r="C24" s="1" t="s">
        <v>692</v>
      </c>
      <c r="D24" s="1" t="s">
        <v>693</v>
      </c>
      <c r="E24" s="1">
        <v>2025</v>
      </c>
      <c r="F24" s="1" t="s">
        <v>696</v>
      </c>
      <c r="G24" s="1" t="s">
        <v>307</v>
      </c>
      <c r="H24" s="1" t="s">
        <v>681</v>
      </c>
      <c r="I24" s="1" t="s">
        <v>307</v>
      </c>
      <c r="J24" s="1" t="s">
        <v>424</v>
      </c>
      <c r="K24" s="1" t="s">
        <v>307</v>
      </c>
      <c r="L24" s="1" t="s">
        <v>423</v>
      </c>
      <c r="M24" s="1" t="s">
        <v>419</v>
      </c>
      <c r="N24" s="1" t="s">
        <v>424</v>
      </c>
      <c r="O24" s="1" t="s">
        <v>450</v>
      </c>
      <c r="P24" s="1" t="s">
        <v>424</v>
      </c>
      <c r="Q24" s="1"/>
    </row>
    <row r="25" spans="1:17" x14ac:dyDescent="0.45">
      <c r="A25" s="1" t="s">
        <v>103</v>
      </c>
      <c r="B25" s="1" t="s">
        <v>42</v>
      </c>
      <c r="C25" s="1" t="s">
        <v>703</v>
      </c>
      <c r="D25" s="1" t="s">
        <v>704</v>
      </c>
      <c r="E25" s="1">
        <v>2025</v>
      </c>
      <c r="F25" s="1" t="s">
        <v>706</v>
      </c>
      <c r="G25" s="1" t="s">
        <v>424</v>
      </c>
      <c r="H25" s="1" t="s">
        <v>692</v>
      </c>
      <c r="I25" s="1" t="s">
        <v>307</v>
      </c>
      <c r="J25" s="1" t="s">
        <v>424</v>
      </c>
      <c r="K25" s="1" t="s">
        <v>307</v>
      </c>
      <c r="L25" s="1" t="s">
        <v>423</v>
      </c>
      <c r="M25" s="1" t="s">
        <v>525</v>
      </c>
      <c r="N25" s="1" t="s">
        <v>424</v>
      </c>
      <c r="O25" s="1" t="s">
        <v>450</v>
      </c>
      <c r="P25" s="1" t="s">
        <v>707</v>
      </c>
      <c r="Q25" s="1"/>
    </row>
    <row r="26" spans="1:17" x14ac:dyDescent="0.45">
      <c r="A26" s="1" t="s">
        <v>708</v>
      </c>
      <c r="B26" s="1" t="s">
        <v>340</v>
      </c>
      <c r="C26" s="1" t="s">
        <v>711</v>
      </c>
      <c r="D26" s="1" t="s">
        <v>712</v>
      </c>
      <c r="E26" s="1">
        <v>2026</v>
      </c>
      <c r="F26" s="1" t="s">
        <v>718</v>
      </c>
      <c r="G26" s="1" t="s">
        <v>307</v>
      </c>
      <c r="H26" s="1" t="s">
        <v>703</v>
      </c>
      <c r="I26" s="1" t="s">
        <v>307</v>
      </c>
      <c r="J26" s="1" t="s">
        <v>424</v>
      </c>
      <c r="K26" s="1" t="s">
        <v>307</v>
      </c>
      <c r="L26" s="1" t="s">
        <v>423</v>
      </c>
      <c r="M26" s="1" t="s">
        <v>419</v>
      </c>
      <c r="N26" s="1" t="s">
        <v>424</v>
      </c>
      <c r="O26" s="1" t="s">
        <v>719</v>
      </c>
      <c r="P26" s="1" t="s">
        <v>424</v>
      </c>
      <c r="Q26" s="1"/>
    </row>
    <row r="27" spans="1:17" x14ac:dyDescent="0.45">
      <c r="A27" s="1" t="s">
        <v>724</v>
      </c>
      <c r="B27" s="1" t="s">
        <v>343</v>
      </c>
      <c r="C27" s="1" t="s">
        <v>725</v>
      </c>
      <c r="D27" s="1" t="s">
        <v>726</v>
      </c>
      <c r="E27" s="1">
        <v>2025</v>
      </c>
      <c r="F27" s="1" t="s">
        <v>731</v>
      </c>
      <c r="G27" s="1" t="s">
        <v>307</v>
      </c>
      <c r="H27" s="1" t="s">
        <v>711</v>
      </c>
      <c r="I27" s="1" t="s">
        <v>307</v>
      </c>
      <c r="J27" s="1" t="s">
        <v>424</v>
      </c>
      <c r="K27" s="1" t="s">
        <v>307</v>
      </c>
      <c r="L27" s="1" t="s">
        <v>423</v>
      </c>
      <c r="M27" s="1" t="s">
        <v>732</v>
      </c>
      <c r="N27" s="1" t="s">
        <v>424</v>
      </c>
      <c r="O27" s="1" t="s">
        <v>450</v>
      </c>
      <c r="P27" s="1" t="s">
        <v>424</v>
      </c>
      <c r="Q27" s="1"/>
    </row>
    <row r="28" spans="1:17" x14ac:dyDescent="0.45">
      <c r="A28" s="1" t="s">
        <v>92</v>
      </c>
      <c r="B28" s="1" t="s">
        <v>41</v>
      </c>
      <c r="C28" s="1" t="s">
        <v>737</v>
      </c>
      <c r="D28" s="1" t="s">
        <v>738</v>
      </c>
      <c r="E28" s="1">
        <v>2022</v>
      </c>
      <c r="F28" s="1" t="s">
        <v>740</v>
      </c>
      <c r="G28" s="1" t="s">
        <v>424</v>
      </c>
      <c r="H28" s="1" t="s">
        <v>725</v>
      </c>
      <c r="I28" s="1" t="s">
        <v>307</v>
      </c>
      <c r="J28" s="1" t="s">
        <v>424</v>
      </c>
      <c r="K28" s="1" t="s">
        <v>307</v>
      </c>
      <c r="L28" s="1" t="s">
        <v>551</v>
      </c>
      <c r="M28" s="1" t="s">
        <v>741</v>
      </c>
      <c r="N28" s="1" t="s">
        <v>424</v>
      </c>
      <c r="O28" s="1" t="s">
        <v>424</v>
      </c>
      <c r="P28" s="1" t="s">
        <v>742</v>
      </c>
      <c r="Q28" s="1"/>
    </row>
    <row r="29" spans="1:17" x14ac:dyDescent="0.45">
      <c r="A29" s="1" t="s">
        <v>105</v>
      </c>
      <c r="B29" s="1" t="s">
        <v>16</v>
      </c>
      <c r="C29" s="1" t="s">
        <v>745</v>
      </c>
      <c r="D29" s="1" t="s">
        <v>746</v>
      </c>
      <c r="E29" s="1">
        <v>2024</v>
      </c>
      <c r="F29" s="1" t="s">
        <v>750</v>
      </c>
      <c r="G29" s="1" t="s">
        <v>424</v>
      </c>
      <c r="H29" s="1" t="s">
        <v>737</v>
      </c>
      <c r="I29" s="1" t="s">
        <v>307</v>
      </c>
      <c r="J29" s="1" t="s">
        <v>424</v>
      </c>
      <c r="K29" s="1" t="s">
        <v>424</v>
      </c>
      <c r="L29" s="1" t="s">
        <v>551</v>
      </c>
      <c r="M29" s="1" t="s">
        <v>419</v>
      </c>
      <c r="N29" s="1" t="s">
        <v>424</v>
      </c>
      <c r="O29" s="1" t="s">
        <v>424</v>
      </c>
      <c r="P29" s="1" t="s">
        <v>424</v>
      </c>
      <c r="Q29" s="1"/>
    </row>
    <row r="30" spans="1:17" x14ac:dyDescent="0.45">
      <c r="A30" s="1" t="s">
        <v>320</v>
      </c>
      <c r="B30" s="1" t="s">
        <v>299</v>
      </c>
      <c r="C30" s="1" t="s">
        <v>755</v>
      </c>
      <c r="D30" s="1" t="s">
        <v>670</v>
      </c>
      <c r="E30" s="1">
        <v>2024</v>
      </c>
      <c r="F30" s="1" t="s">
        <v>757</v>
      </c>
      <c r="G30" s="1" t="s">
        <v>307</v>
      </c>
      <c r="H30" s="9" t="s">
        <v>755</v>
      </c>
      <c r="I30" s="9" t="s">
        <v>307</v>
      </c>
      <c r="J30" s="9" t="s">
        <v>424</v>
      </c>
      <c r="K30" s="9" t="s">
        <v>307</v>
      </c>
      <c r="L30" s="1" t="s">
        <v>423</v>
      </c>
      <c r="M30" s="1" t="s">
        <v>419</v>
      </c>
      <c r="N30" s="1" t="s">
        <v>424</v>
      </c>
      <c r="O30" s="1" t="s">
        <v>758</v>
      </c>
      <c r="P30" s="1" t="s">
        <v>424</v>
      </c>
      <c r="Q30" s="1"/>
    </row>
    <row r="31" spans="1:17" x14ac:dyDescent="0.45">
      <c r="A31" s="1" t="s">
        <v>96</v>
      </c>
      <c r="B31" s="1" t="s">
        <v>70</v>
      </c>
      <c r="C31" s="1" t="s">
        <v>762</v>
      </c>
      <c r="D31" s="1" t="s">
        <v>763</v>
      </c>
      <c r="E31" s="1">
        <v>2024</v>
      </c>
      <c r="F31" s="1" t="s">
        <v>765</v>
      </c>
      <c r="G31" s="1" t="s">
        <v>424</v>
      </c>
      <c r="H31" s="22" t="s">
        <v>762</v>
      </c>
      <c r="I31" s="9" t="s">
        <v>307</v>
      </c>
      <c r="J31" s="9" t="s">
        <v>424</v>
      </c>
      <c r="K31" s="9" t="s">
        <v>307</v>
      </c>
      <c r="L31" s="1" t="s">
        <v>423</v>
      </c>
      <c r="M31" s="1" t="s">
        <v>525</v>
      </c>
      <c r="N31" s="1" t="s">
        <v>424</v>
      </c>
      <c r="O31" s="1" t="s">
        <v>450</v>
      </c>
      <c r="P31" s="1" t="s">
        <v>467</v>
      </c>
      <c r="Q31" s="1" t="s">
        <v>766</v>
      </c>
    </row>
    <row r="32" spans="1:17" x14ac:dyDescent="0.45">
      <c r="A32" s="1" t="s">
        <v>776</v>
      </c>
      <c r="B32" s="1" t="s">
        <v>262</v>
      </c>
      <c r="C32" s="1" t="s">
        <v>777</v>
      </c>
      <c r="D32" s="1" t="s">
        <v>778</v>
      </c>
      <c r="E32" s="1">
        <v>2025</v>
      </c>
      <c r="F32" s="1" t="s">
        <v>773</v>
      </c>
      <c r="G32" s="1" t="s">
        <v>307</v>
      </c>
      <c r="H32" s="9" t="s">
        <v>777</v>
      </c>
      <c r="I32" s="9" t="s">
        <v>424</v>
      </c>
      <c r="J32" s="9" t="s">
        <v>307</v>
      </c>
      <c r="K32" s="9" t="s">
        <v>307</v>
      </c>
      <c r="L32" s="1" t="s">
        <v>447</v>
      </c>
      <c r="M32" s="1" t="s">
        <v>424</v>
      </c>
      <c r="N32" s="1" t="s">
        <v>774</v>
      </c>
      <c r="O32" s="1" t="s">
        <v>450</v>
      </c>
      <c r="P32" s="1" t="s">
        <v>775</v>
      </c>
      <c r="Q32" s="1"/>
    </row>
    <row r="33" spans="1:18" x14ac:dyDescent="0.45">
      <c r="A33" s="1" t="s">
        <v>788</v>
      </c>
      <c r="B33" s="1" t="s">
        <v>50</v>
      </c>
      <c r="C33" s="1" t="s">
        <v>789</v>
      </c>
      <c r="D33" s="1" t="s">
        <v>790</v>
      </c>
      <c r="E33" s="1">
        <v>2024</v>
      </c>
      <c r="F33" s="1" t="s">
        <v>796</v>
      </c>
      <c r="G33" s="1" t="s">
        <v>424</v>
      </c>
      <c r="H33" s="1" t="s">
        <v>789</v>
      </c>
      <c r="I33" s="1" t="s">
        <v>307</v>
      </c>
      <c r="J33" s="1" t="s">
        <v>424</v>
      </c>
      <c r="K33" s="1" t="s">
        <v>307</v>
      </c>
      <c r="L33" s="1" t="s">
        <v>423</v>
      </c>
      <c r="M33" s="1" t="s">
        <v>797</v>
      </c>
      <c r="N33" s="1" t="s">
        <v>424</v>
      </c>
      <c r="O33" s="1" t="s">
        <v>450</v>
      </c>
      <c r="P33" s="1" t="s">
        <v>424</v>
      </c>
      <c r="Q33" s="1"/>
    </row>
    <row r="34" spans="1:18" x14ac:dyDescent="0.45">
      <c r="A34" s="1" t="s">
        <v>101</v>
      </c>
      <c r="B34" s="1" t="s">
        <v>11</v>
      </c>
      <c r="C34" s="1" t="s">
        <v>800</v>
      </c>
      <c r="D34" s="1" t="s">
        <v>801</v>
      </c>
      <c r="E34" s="1">
        <v>2023</v>
      </c>
      <c r="F34" s="1" t="s">
        <v>803</v>
      </c>
      <c r="G34" s="1" t="s">
        <v>307</v>
      </c>
      <c r="H34" s="1" t="s">
        <v>800</v>
      </c>
      <c r="I34" s="1" t="s">
        <v>307</v>
      </c>
      <c r="J34" s="1" t="s">
        <v>424</v>
      </c>
      <c r="K34" s="1" t="s">
        <v>307</v>
      </c>
      <c r="L34" s="1" t="s">
        <v>423</v>
      </c>
      <c r="M34" s="1" t="s">
        <v>419</v>
      </c>
      <c r="N34" s="1" t="s">
        <v>424</v>
      </c>
      <c r="O34" s="1" t="s">
        <v>450</v>
      </c>
      <c r="P34" s="1" t="s">
        <v>424</v>
      </c>
      <c r="Q34" s="1"/>
    </row>
    <row r="35" spans="1:18" x14ac:dyDescent="0.45">
      <c r="A35" s="1" t="s">
        <v>317</v>
      </c>
      <c r="B35" s="1" t="s">
        <v>267</v>
      </c>
      <c r="C35" s="1" t="s">
        <v>807</v>
      </c>
      <c r="D35" s="1" t="s">
        <v>808</v>
      </c>
      <c r="E35" s="1">
        <v>2024</v>
      </c>
      <c r="F35" s="1" t="s">
        <v>810</v>
      </c>
      <c r="G35" s="1" t="s">
        <v>307</v>
      </c>
      <c r="H35" s="1" t="s">
        <v>807</v>
      </c>
      <c r="I35" s="1" t="s">
        <v>307</v>
      </c>
      <c r="J35" s="1" t="s">
        <v>307</v>
      </c>
      <c r="K35" s="1" t="s">
        <v>307</v>
      </c>
      <c r="L35" s="1" t="s">
        <v>513</v>
      </c>
      <c r="M35" s="1" t="s">
        <v>741</v>
      </c>
      <c r="N35" s="1" t="s">
        <v>811</v>
      </c>
      <c r="O35" s="1" t="s">
        <v>450</v>
      </c>
      <c r="P35" s="1" t="s">
        <v>812</v>
      </c>
      <c r="Q35" s="1"/>
    </row>
    <row r="36" spans="1:18" x14ac:dyDescent="0.45">
      <c r="A36" s="1" t="s">
        <v>95</v>
      </c>
      <c r="B36" s="1" t="s">
        <v>65</v>
      </c>
      <c r="C36" s="1" t="s">
        <v>814</v>
      </c>
      <c r="D36" s="1" t="s">
        <v>815</v>
      </c>
      <c r="E36" s="1">
        <v>2023</v>
      </c>
      <c r="F36" s="1" t="s">
        <v>820</v>
      </c>
      <c r="G36" s="1" t="s">
        <v>424</v>
      </c>
      <c r="H36" s="1" t="s">
        <v>814</v>
      </c>
      <c r="I36" s="1" t="s">
        <v>307</v>
      </c>
      <c r="J36" s="1" t="s">
        <v>424</v>
      </c>
      <c r="K36" s="1" t="s">
        <v>424</v>
      </c>
      <c r="L36" s="1" t="s">
        <v>551</v>
      </c>
      <c r="M36" s="1" t="s">
        <v>741</v>
      </c>
      <c r="N36" s="1" t="s">
        <v>424</v>
      </c>
      <c r="O36" s="1" t="s">
        <v>424</v>
      </c>
      <c r="P36" s="1" t="s">
        <v>424</v>
      </c>
      <c r="Q36" s="1"/>
    </row>
    <row r="37" spans="1:18" x14ac:dyDescent="0.45">
      <c r="A37" s="1" t="s">
        <v>322</v>
      </c>
      <c r="B37" s="1" t="s">
        <v>368</v>
      </c>
      <c r="C37" s="1" t="s">
        <v>829</v>
      </c>
      <c r="D37" s="1" t="s">
        <v>830</v>
      </c>
      <c r="E37" s="1">
        <v>2022</v>
      </c>
      <c r="F37" s="1" t="s">
        <v>846</v>
      </c>
      <c r="G37" s="1" t="s">
        <v>424</v>
      </c>
      <c r="H37" s="1" t="s">
        <v>829</v>
      </c>
      <c r="I37" s="1" t="s">
        <v>307</v>
      </c>
      <c r="J37" s="1" t="s">
        <v>424</v>
      </c>
      <c r="K37" s="1" t="s">
        <v>307</v>
      </c>
      <c r="L37" s="1" t="s">
        <v>423</v>
      </c>
      <c r="M37" s="1" t="s">
        <v>741</v>
      </c>
      <c r="N37" s="1" t="s">
        <v>424</v>
      </c>
      <c r="O37" s="1" t="s">
        <v>450</v>
      </c>
      <c r="P37" s="1" t="s">
        <v>831</v>
      </c>
      <c r="Q37" s="1"/>
    </row>
    <row r="38" spans="1:18" x14ac:dyDescent="0.45">
      <c r="A38" s="1" t="s">
        <v>836</v>
      </c>
      <c r="B38" s="1" t="s">
        <v>371</v>
      </c>
      <c r="C38" s="1" t="s">
        <v>837</v>
      </c>
      <c r="D38" s="1" t="s">
        <v>839</v>
      </c>
      <c r="E38" s="1">
        <v>2014</v>
      </c>
      <c r="F38" s="1" t="s">
        <v>841</v>
      </c>
      <c r="G38" s="1" t="s">
        <v>424</v>
      </c>
      <c r="H38" s="1" t="s">
        <v>837</v>
      </c>
      <c r="I38" s="1" t="s">
        <v>307</v>
      </c>
      <c r="J38" s="1" t="s">
        <v>424</v>
      </c>
      <c r="K38" s="1" t="s">
        <v>307</v>
      </c>
      <c r="L38" s="1" t="s">
        <v>842</v>
      </c>
      <c r="M38" s="1" t="s">
        <v>419</v>
      </c>
      <c r="N38" s="1" t="s">
        <v>424</v>
      </c>
      <c r="O38" s="1" t="s">
        <v>450</v>
      </c>
      <c r="P38" s="1" t="s">
        <v>424</v>
      </c>
      <c r="Q38" s="1" t="s">
        <v>419</v>
      </c>
      <c r="R38" t="s">
        <v>843</v>
      </c>
    </row>
    <row r="39" spans="1:18" x14ac:dyDescent="0.45">
      <c r="A39" s="18" t="s">
        <v>321</v>
      </c>
      <c r="B39" s="1" t="s">
        <v>374</v>
      </c>
      <c r="C39" s="1" t="s">
        <v>847</v>
      </c>
      <c r="D39" s="1" t="s">
        <v>848</v>
      </c>
      <c r="E39" s="1">
        <v>2018</v>
      </c>
      <c r="F39" s="1" t="s">
        <v>850</v>
      </c>
      <c r="G39" s="1" t="s">
        <v>424</v>
      </c>
      <c r="H39" s="1" t="s">
        <v>847</v>
      </c>
      <c r="I39" s="1" t="s">
        <v>307</v>
      </c>
      <c r="J39" s="1" t="s">
        <v>424</v>
      </c>
      <c r="K39" s="1" t="s">
        <v>307</v>
      </c>
      <c r="L39" s="1" t="s">
        <v>423</v>
      </c>
      <c r="M39" s="1" t="s">
        <v>741</v>
      </c>
      <c r="N39" s="1" t="s">
        <v>424</v>
      </c>
      <c r="O39" s="1" t="s">
        <v>450</v>
      </c>
      <c r="P39" s="1" t="s">
        <v>628</v>
      </c>
      <c r="Q39" s="1"/>
    </row>
    <row r="40" spans="1:18" x14ac:dyDescent="0.45">
      <c r="A40" s="1" t="s">
        <v>851</v>
      </c>
      <c r="B40" s="1" t="s">
        <v>377</v>
      </c>
      <c r="C40" s="1" t="s">
        <v>852</v>
      </c>
      <c r="D40" s="1" t="s">
        <v>853</v>
      </c>
      <c r="E40" s="1">
        <v>2021</v>
      </c>
      <c r="F40" s="1" t="s">
        <v>854</v>
      </c>
      <c r="G40" s="1" t="s">
        <v>424</v>
      </c>
      <c r="H40" s="1" t="s">
        <v>852</v>
      </c>
      <c r="I40" s="1" t="s">
        <v>424</v>
      </c>
      <c r="J40" s="1" t="s">
        <v>307</v>
      </c>
      <c r="K40" s="1" t="s">
        <v>307</v>
      </c>
      <c r="L40" s="1" t="s">
        <v>447</v>
      </c>
      <c r="M40" s="1" t="s">
        <v>424</v>
      </c>
      <c r="N40" s="1" t="s">
        <v>567</v>
      </c>
      <c r="O40" s="1" t="s">
        <v>450</v>
      </c>
      <c r="P40" s="1" t="s">
        <v>855</v>
      </c>
      <c r="Q40" s="1"/>
    </row>
    <row r="41" spans="1:18" x14ac:dyDescent="0.45">
      <c r="A41" s="1" t="s">
        <v>536</v>
      </c>
      <c r="B41" s="1" t="s">
        <v>383</v>
      </c>
      <c r="C41" s="1" t="s">
        <v>860</v>
      </c>
      <c r="D41" s="1" t="s">
        <v>861</v>
      </c>
      <c r="E41" s="1">
        <v>2022</v>
      </c>
      <c r="F41" s="1" t="s">
        <v>866</v>
      </c>
      <c r="G41" s="1" t="s">
        <v>424</v>
      </c>
      <c r="H41" s="1" t="s">
        <v>860</v>
      </c>
      <c r="I41" s="1" t="s">
        <v>307</v>
      </c>
      <c r="J41" s="1" t="s">
        <v>424</v>
      </c>
      <c r="K41" s="1" t="s">
        <v>307</v>
      </c>
      <c r="L41" s="1" t="s">
        <v>423</v>
      </c>
      <c r="M41" s="1" t="s">
        <v>419</v>
      </c>
      <c r="N41" s="1" t="s">
        <v>424</v>
      </c>
      <c r="O41" s="1" t="s">
        <v>316</v>
      </c>
      <c r="P41" s="1" t="s">
        <v>467</v>
      </c>
      <c r="Q41" s="1" t="s">
        <v>419</v>
      </c>
    </row>
    <row r="42" spans="1:18" x14ac:dyDescent="0.45">
      <c r="A42" s="1" t="s">
        <v>869</v>
      </c>
      <c r="B42" s="1" t="s">
        <v>66</v>
      </c>
      <c r="C42" s="1" t="s">
        <v>871</v>
      </c>
      <c r="D42" s="1" t="s">
        <v>870</v>
      </c>
      <c r="E42" s="1">
        <v>2024</v>
      </c>
      <c r="F42" s="1" t="s">
        <v>419</v>
      </c>
      <c r="G42" s="1" t="s">
        <v>307</v>
      </c>
      <c r="H42" s="1" t="s">
        <v>871</v>
      </c>
      <c r="I42" s="1" t="s">
        <v>307</v>
      </c>
      <c r="J42" s="1" t="s">
        <v>424</v>
      </c>
      <c r="K42" s="1" t="s">
        <v>307</v>
      </c>
      <c r="L42" s="1" t="s">
        <v>423</v>
      </c>
      <c r="M42" s="1" t="s">
        <v>419</v>
      </c>
      <c r="N42" s="1" t="s">
        <v>424</v>
      </c>
      <c r="O42" s="1" t="s">
        <v>876</v>
      </c>
      <c r="P42" s="1" t="s">
        <v>424</v>
      </c>
      <c r="Q42" s="1" t="s">
        <v>424</v>
      </c>
      <c r="R42" t="s">
        <v>877</v>
      </c>
    </row>
  </sheetData>
  <autoFilter ref="A1:T42" xr:uid="{BC5E440C-683D-4CBE-9B75-E6F7430D07AB}">
    <filterColumn colId="17" showButton="0"/>
    <filterColumn colId="18" showButton="0"/>
  </autoFilter>
  <mergeCells count="2">
    <mergeCell ref="R1:T1"/>
    <mergeCell ref="R9:T9"/>
  </mergeCells>
  <pageMargins left="0.7" right="0.7" top="0.75" bottom="0.75" header="0.3" footer="0.3"/>
  <pageSetup paperSize="9" orientation="portrait" horizontalDpi="300"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221DF-6B2C-49D4-937E-67E07BF60853}">
  <dimension ref="A1:K42"/>
  <sheetViews>
    <sheetView workbookViewId="0">
      <selection activeCell="E33" sqref="E33"/>
    </sheetView>
  </sheetViews>
  <sheetFormatPr defaultRowHeight="14.25" x14ac:dyDescent="0.45"/>
  <cols>
    <col min="1" max="1" width="18" bestFit="1" customWidth="1"/>
    <col min="2" max="4" width="14.265625" customWidth="1"/>
    <col min="5" max="5" width="31.86328125" bestFit="1" customWidth="1"/>
    <col min="6" max="6" width="18.86328125" bestFit="1" customWidth="1"/>
    <col min="7" max="7" width="13.73046875" bestFit="1" customWidth="1"/>
    <col min="8" max="8" width="21.59765625" bestFit="1" customWidth="1"/>
    <col min="9" max="9" width="18.73046875" bestFit="1" customWidth="1"/>
    <col min="10" max="10" width="23.59765625" bestFit="1" customWidth="1"/>
  </cols>
  <sheetData>
    <row r="1" spans="1:11" x14ac:dyDescent="0.45">
      <c r="A1" s="2" t="s">
        <v>386</v>
      </c>
      <c r="B1" s="2" t="s">
        <v>910</v>
      </c>
      <c r="C1" s="2" t="s">
        <v>911</v>
      </c>
      <c r="D1" s="2" t="s">
        <v>912</v>
      </c>
      <c r="E1" s="2" t="s">
        <v>422</v>
      </c>
      <c r="F1" s="2" t="s">
        <v>391</v>
      </c>
      <c r="G1" s="2" t="s">
        <v>392</v>
      </c>
      <c r="H1" s="2" t="s">
        <v>393</v>
      </c>
      <c r="I1" s="2" t="s">
        <v>389</v>
      </c>
      <c r="J1" s="2" t="s">
        <v>518</v>
      </c>
    </row>
    <row r="2" spans="1:11" x14ac:dyDescent="0.45">
      <c r="A2" s="1" t="s">
        <v>408</v>
      </c>
      <c r="B2" s="1" t="s">
        <v>307</v>
      </c>
      <c r="C2" s="1" t="s">
        <v>424</v>
      </c>
      <c r="D2" s="1" t="s">
        <v>307</v>
      </c>
      <c r="E2" s="1" t="s">
        <v>423</v>
      </c>
      <c r="F2" s="1" t="s">
        <v>419</v>
      </c>
      <c r="G2" s="1" t="s">
        <v>424</v>
      </c>
      <c r="H2" s="1" t="s">
        <v>316</v>
      </c>
      <c r="I2" s="1" t="s">
        <v>467</v>
      </c>
      <c r="J2" s="1"/>
      <c r="K2" s="19"/>
    </row>
    <row r="3" spans="1:11" x14ac:dyDescent="0.45">
      <c r="A3" s="1" t="s">
        <v>443</v>
      </c>
      <c r="B3" s="1" t="s">
        <v>424</v>
      </c>
      <c r="C3" s="1" t="s">
        <v>307</v>
      </c>
      <c r="D3" s="1" t="s">
        <v>307</v>
      </c>
      <c r="E3" s="1" t="s">
        <v>447</v>
      </c>
      <c r="F3" s="1" t="s">
        <v>424</v>
      </c>
      <c r="G3" s="1" t="s">
        <v>445</v>
      </c>
      <c r="H3" s="1" t="s">
        <v>450</v>
      </c>
      <c r="I3" s="1" t="s">
        <v>448</v>
      </c>
      <c r="J3" s="1"/>
      <c r="K3" s="19"/>
    </row>
    <row r="4" spans="1:11" x14ac:dyDescent="0.45">
      <c r="A4" s="1" t="s">
        <v>464</v>
      </c>
      <c r="B4" s="1" t="s">
        <v>307</v>
      </c>
      <c r="C4" s="1" t="s">
        <v>424</v>
      </c>
      <c r="D4" s="1" t="s">
        <v>307</v>
      </c>
      <c r="E4" s="1" t="s">
        <v>423</v>
      </c>
      <c r="F4" s="1" t="s">
        <v>419</v>
      </c>
      <c r="G4" s="1" t="s">
        <v>424</v>
      </c>
      <c r="H4" s="1" t="s">
        <v>316</v>
      </c>
      <c r="I4" s="1" t="s">
        <v>467</v>
      </c>
      <c r="J4" s="1"/>
      <c r="K4" s="19"/>
    </row>
    <row r="5" spans="1:11" x14ac:dyDescent="0.45">
      <c r="A5" s="1" t="s">
        <v>474</v>
      </c>
      <c r="B5" s="1" t="s">
        <v>424</v>
      </c>
      <c r="C5" s="1" t="s">
        <v>307</v>
      </c>
      <c r="D5" s="1" t="s">
        <v>307</v>
      </c>
      <c r="E5" s="1" t="s">
        <v>447</v>
      </c>
      <c r="F5" s="1" t="s">
        <v>424</v>
      </c>
      <c r="G5" s="1" t="s">
        <v>482</v>
      </c>
      <c r="H5" s="1" t="s">
        <v>450</v>
      </c>
      <c r="I5" s="1" t="s">
        <v>424</v>
      </c>
      <c r="J5" s="1"/>
      <c r="K5" s="19"/>
    </row>
    <row r="6" spans="1:11" x14ac:dyDescent="0.45">
      <c r="A6" s="1" t="s">
        <v>488</v>
      </c>
      <c r="B6" s="18" t="s">
        <v>307</v>
      </c>
      <c r="C6" s="18" t="s">
        <v>424</v>
      </c>
      <c r="D6" s="1" t="s">
        <v>307</v>
      </c>
      <c r="E6" s="1" t="s">
        <v>423</v>
      </c>
      <c r="F6" s="1" t="s">
        <v>492</v>
      </c>
      <c r="G6" s="1" t="s">
        <v>424</v>
      </c>
      <c r="H6" s="1" t="s">
        <v>450</v>
      </c>
      <c r="I6" s="1" t="s">
        <v>493</v>
      </c>
      <c r="J6" s="1"/>
      <c r="K6" s="19"/>
    </row>
    <row r="7" spans="1:11" x14ac:dyDescent="0.45">
      <c r="A7" s="1" t="s">
        <v>506</v>
      </c>
      <c r="B7" s="1" t="s">
        <v>307</v>
      </c>
      <c r="C7" s="1" t="s">
        <v>307</v>
      </c>
      <c r="D7" s="1" t="s">
        <v>307</v>
      </c>
      <c r="E7" s="1" t="s">
        <v>513</v>
      </c>
      <c r="F7" s="1" t="s">
        <v>511</v>
      </c>
      <c r="G7" s="1" t="s">
        <v>512</v>
      </c>
      <c r="H7" s="1" t="s">
        <v>450</v>
      </c>
      <c r="I7" s="1" t="s">
        <v>424</v>
      </c>
      <c r="J7" s="1"/>
      <c r="K7" s="19"/>
    </row>
    <row r="8" spans="1:11" x14ac:dyDescent="0.45">
      <c r="A8" s="1" t="s">
        <v>519</v>
      </c>
      <c r="B8" s="1" t="s">
        <v>307</v>
      </c>
      <c r="C8" s="1" t="s">
        <v>424</v>
      </c>
      <c r="D8" s="1" t="s">
        <v>307</v>
      </c>
      <c r="E8" s="1" t="s">
        <v>423</v>
      </c>
      <c r="F8" s="1" t="s">
        <v>419</v>
      </c>
      <c r="G8" s="1" t="s">
        <v>424</v>
      </c>
      <c r="H8" s="1" t="s">
        <v>524</v>
      </c>
      <c r="I8" s="1"/>
      <c r="J8" s="1"/>
      <c r="K8" s="19"/>
    </row>
    <row r="9" spans="1:11" x14ac:dyDescent="0.45">
      <c r="A9" s="1" t="s">
        <v>539</v>
      </c>
      <c r="B9" s="1" t="s">
        <v>307</v>
      </c>
      <c r="C9" s="1" t="s">
        <v>424</v>
      </c>
      <c r="D9" s="1" t="s">
        <v>307</v>
      </c>
      <c r="E9" s="1" t="s">
        <v>423</v>
      </c>
      <c r="F9" s="1" t="s">
        <v>419</v>
      </c>
      <c r="G9" s="1" t="s">
        <v>424</v>
      </c>
      <c r="H9" s="1" t="s">
        <v>450</v>
      </c>
      <c r="I9" s="1" t="s">
        <v>424</v>
      </c>
      <c r="J9" s="1"/>
      <c r="K9" s="19"/>
    </row>
    <row r="10" spans="1:11" x14ac:dyDescent="0.45">
      <c r="A10" s="1" t="s">
        <v>546</v>
      </c>
      <c r="B10" s="1" t="s">
        <v>307</v>
      </c>
      <c r="C10" s="1" t="s">
        <v>424</v>
      </c>
      <c r="D10" s="1" t="s">
        <v>424</v>
      </c>
      <c r="E10" s="1" t="s">
        <v>551</v>
      </c>
      <c r="F10" s="1" t="s">
        <v>797</v>
      </c>
      <c r="G10" s="1" t="s">
        <v>424</v>
      </c>
      <c r="H10" s="1" t="s">
        <v>424</v>
      </c>
      <c r="I10" s="1" t="s">
        <v>424</v>
      </c>
      <c r="J10" s="1"/>
      <c r="K10" s="19"/>
    </row>
    <row r="11" spans="1:11" x14ac:dyDescent="0.45">
      <c r="A11" s="1" t="s">
        <v>556</v>
      </c>
      <c r="B11" s="1" t="s">
        <v>307</v>
      </c>
      <c r="C11" s="1" t="s">
        <v>307</v>
      </c>
      <c r="D11" s="1" t="s">
        <v>307</v>
      </c>
      <c r="E11" s="1" t="s">
        <v>513</v>
      </c>
      <c r="F11" s="1" t="s">
        <v>419</v>
      </c>
      <c r="G11" s="1" t="s">
        <v>559</v>
      </c>
      <c r="H11" s="1" t="s">
        <v>450</v>
      </c>
      <c r="I11" s="1" t="s">
        <v>424</v>
      </c>
      <c r="J11" s="1"/>
      <c r="K11" s="19"/>
    </row>
    <row r="12" spans="1:11" x14ac:dyDescent="0.45">
      <c r="A12" s="1" t="s">
        <v>564</v>
      </c>
      <c r="B12" s="1" t="s">
        <v>424</v>
      </c>
      <c r="C12" s="1" t="s">
        <v>307</v>
      </c>
      <c r="D12" s="1" t="s">
        <v>307</v>
      </c>
      <c r="E12" s="1" t="s">
        <v>447</v>
      </c>
      <c r="F12" s="1" t="s">
        <v>424</v>
      </c>
      <c r="G12" s="1" t="s">
        <v>567</v>
      </c>
      <c r="H12" s="1" t="s">
        <v>316</v>
      </c>
      <c r="I12" s="1" t="s">
        <v>424</v>
      </c>
      <c r="J12" s="1"/>
      <c r="K12" s="19"/>
    </row>
    <row r="13" spans="1:11" x14ac:dyDescent="0.45">
      <c r="A13" s="1" t="s">
        <v>580</v>
      </c>
      <c r="B13" s="1" t="s">
        <v>307</v>
      </c>
      <c r="C13" s="1" t="s">
        <v>424</v>
      </c>
      <c r="D13" s="1" t="s">
        <v>307</v>
      </c>
      <c r="E13" s="1" t="s">
        <v>423</v>
      </c>
      <c r="F13" s="1" t="s">
        <v>419</v>
      </c>
      <c r="G13" s="1" t="s">
        <v>424</v>
      </c>
      <c r="H13" s="1" t="s">
        <v>450</v>
      </c>
      <c r="I13" s="1" t="s">
        <v>424</v>
      </c>
      <c r="J13" s="1"/>
      <c r="K13" s="19"/>
    </row>
    <row r="14" spans="1:11" x14ac:dyDescent="0.45">
      <c r="A14" s="1" t="s">
        <v>589</v>
      </c>
      <c r="B14" s="1" t="s">
        <v>307</v>
      </c>
      <c r="C14" s="1" t="s">
        <v>424</v>
      </c>
      <c r="D14" s="1" t="s">
        <v>307</v>
      </c>
      <c r="E14" s="1" t="s">
        <v>423</v>
      </c>
      <c r="F14" s="1" t="s">
        <v>880</v>
      </c>
      <c r="G14" s="1" t="s">
        <v>424</v>
      </c>
      <c r="H14" s="1" t="s">
        <v>316</v>
      </c>
      <c r="I14" s="1" t="s">
        <v>424</v>
      </c>
      <c r="J14" s="1" t="s">
        <v>880</v>
      </c>
      <c r="K14" s="19"/>
    </row>
    <row r="15" spans="1:11" x14ac:dyDescent="0.45">
      <c r="A15" s="1" t="s">
        <v>600</v>
      </c>
      <c r="B15" s="1" t="s">
        <v>307</v>
      </c>
      <c r="C15" s="1" t="s">
        <v>424</v>
      </c>
      <c r="D15" s="1" t="s">
        <v>307</v>
      </c>
      <c r="E15" s="1" t="s">
        <v>423</v>
      </c>
      <c r="F15" s="1" t="s">
        <v>604</v>
      </c>
      <c r="G15" s="1" t="s">
        <v>424</v>
      </c>
      <c r="H15" s="1" t="s">
        <v>450</v>
      </c>
      <c r="I15" s="1" t="s">
        <v>605</v>
      </c>
      <c r="J15" s="1"/>
      <c r="K15" s="19"/>
    </row>
    <row r="16" spans="1:11" x14ac:dyDescent="0.45">
      <c r="A16" s="1" t="s">
        <v>612</v>
      </c>
      <c r="B16" s="1" t="s">
        <v>307</v>
      </c>
      <c r="C16" s="1" t="s">
        <v>424</v>
      </c>
      <c r="D16" s="1" t="s">
        <v>307</v>
      </c>
      <c r="E16" s="1" t="s">
        <v>423</v>
      </c>
      <c r="F16" s="1" t="s">
        <v>617</v>
      </c>
      <c r="G16" s="1" t="s">
        <v>424</v>
      </c>
      <c r="H16" s="1" t="s">
        <v>450</v>
      </c>
      <c r="I16" s="1" t="s">
        <v>424</v>
      </c>
      <c r="J16" s="1"/>
      <c r="K16" s="19"/>
    </row>
    <row r="17" spans="1:11" x14ac:dyDescent="0.45">
      <c r="A17" s="1" t="s">
        <v>621</v>
      </c>
      <c r="B17" s="1" t="s">
        <v>307</v>
      </c>
      <c r="C17" s="1" t="s">
        <v>424</v>
      </c>
      <c r="D17" s="1" t="s">
        <v>307</v>
      </c>
      <c r="E17" s="1" t="s">
        <v>423</v>
      </c>
      <c r="F17" s="1" t="s">
        <v>627</v>
      </c>
      <c r="G17" s="1" t="s">
        <v>424</v>
      </c>
      <c r="H17" s="1" t="s">
        <v>450</v>
      </c>
      <c r="I17" s="1" t="s">
        <v>628</v>
      </c>
      <c r="J17" s="1"/>
      <c r="K17" s="19"/>
    </row>
    <row r="18" spans="1:11" x14ac:dyDescent="0.45">
      <c r="A18" s="1" t="s">
        <v>631</v>
      </c>
      <c r="B18" s="1" t="s">
        <v>307</v>
      </c>
      <c r="C18" s="1" t="s">
        <v>424</v>
      </c>
      <c r="D18" s="1" t="s">
        <v>307</v>
      </c>
      <c r="E18" s="1" t="s">
        <v>423</v>
      </c>
      <c r="F18" s="1" t="s">
        <v>419</v>
      </c>
      <c r="G18" s="1" t="s">
        <v>424</v>
      </c>
      <c r="H18" s="1" t="s">
        <v>524</v>
      </c>
      <c r="I18" s="1" t="s">
        <v>424</v>
      </c>
      <c r="J18" s="1"/>
      <c r="K18" s="19"/>
    </row>
    <row r="19" spans="1:11" x14ac:dyDescent="0.45">
      <c r="A19" s="1" t="s">
        <v>641</v>
      </c>
      <c r="B19" s="1" t="s">
        <v>307</v>
      </c>
      <c r="C19" s="1" t="s">
        <v>424</v>
      </c>
      <c r="D19" s="1" t="s">
        <v>307</v>
      </c>
      <c r="E19" s="1" t="s">
        <v>423</v>
      </c>
      <c r="F19" s="1" t="s">
        <v>419</v>
      </c>
      <c r="G19" s="1" t="s">
        <v>424</v>
      </c>
      <c r="H19" s="1" t="s">
        <v>450</v>
      </c>
      <c r="I19" s="1" t="s">
        <v>467</v>
      </c>
      <c r="J19" s="1"/>
      <c r="K19" s="19"/>
    </row>
    <row r="20" spans="1:11" x14ac:dyDescent="0.45">
      <c r="A20" s="1" t="s">
        <v>650</v>
      </c>
      <c r="B20" s="1" t="s">
        <v>307</v>
      </c>
      <c r="C20" s="1" t="s">
        <v>424</v>
      </c>
      <c r="D20" s="1" t="s">
        <v>307</v>
      </c>
      <c r="E20" s="1" t="s">
        <v>423</v>
      </c>
      <c r="F20" s="1" t="s">
        <v>419</v>
      </c>
      <c r="G20" s="1" t="s">
        <v>424</v>
      </c>
      <c r="H20" s="1" t="s">
        <v>654</v>
      </c>
      <c r="I20" s="1" t="s">
        <v>424</v>
      </c>
      <c r="J20" s="1"/>
      <c r="K20" s="19"/>
    </row>
    <row r="21" spans="1:11" x14ac:dyDescent="0.45">
      <c r="A21" s="1" t="s">
        <v>660</v>
      </c>
      <c r="B21" s="1" t="s">
        <v>307</v>
      </c>
      <c r="C21" s="1" t="s">
        <v>424</v>
      </c>
      <c r="D21" s="1" t="s">
        <v>307</v>
      </c>
      <c r="E21" s="1" t="s">
        <v>423</v>
      </c>
      <c r="F21" s="1" t="s">
        <v>419</v>
      </c>
      <c r="G21" s="1" t="s">
        <v>424</v>
      </c>
      <c r="H21" s="1" t="s">
        <v>450</v>
      </c>
      <c r="I21" s="1" t="s">
        <v>467</v>
      </c>
      <c r="J21" s="1"/>
      <c r="K21" s="19"/>
    </row>
    <row r="22" spans="1:11" x14ac:dyDescent="0.45">
      <c r="A22" s="1" t="s">
        <v>669</v>
      </c>
      <c r="B22" s="1" t="s">
        <v>307</v>
      </c>
      <c r="C22" s="1" t="s">
        <v>424</v>
      </c>
      <c r="D22" s="1" t="s">
        <v>307</v>
      </c>
      <c r="E22" s="1" t="s">
        <v>423</v>
      </c>
      <c r="F22" s="1" t="s">
        <v>419</v>
      </c>
      <c r="G22" s="1" t="s">
        <v>424</v>
      </c>
      <c r="H22" s="1" t="s">
        <v>675</v>
      </c>
      <c r="I22" s="1" t="s">
        <v>424</v>
      </c>
      <c r="J22" s="1"/>
      <c r="K22" s="19"/>
    </row>
    <row r="23" spans="1:11" x14ac:dyDescent="0.45">
      <c r="A23" s="1" t="s">
        <v>681</v>
      </c>
      <c r="B23" s="1" t="s">
        <v>307</v>
      </c>
      <c r="C23" s="1" t="s">
        <v>424</v>
      </c>
      <c r="D23" s="1" t="s">
        <v>307</v>
      </c>
      <c r="E23" s="1" t="s">
        <v>423</v>
      </c>
      <c r="F23" s="1" t="s">
        <v>419</v>
      </c>
      <c r="G23" s="1" t="s">
        <v>424</v>
      </c>
      <c r="H23" s="1" t="s">
        <v>450</v>
      </c>
      <c r="I23" s="1" t="s">
        <v>424</v>
      </c>
      <c r="J23" s="1"/>
      <c r="K23" s="19"/>
    </row>
    <row r="24" spans="1:11" x14ac:dyDescent="0.45">
      <c r="A24" s="1" t="s">
        <v>692</v>
      </c>
      <c r="B24" s="1" t="s">
        <v>307</v>
      </c>
      <c r="C24" s="1" t="s">
        <v>424</v>
      </c>
      <c r="D24" s="1" t="s">
        <v>307</v>
      </c>
      <c r="E24" s="1" t="s">
        <v>423</v>
      </c>
      <c r="F24" s="1" t="s">
        <v>419</v>
      </c>
      <c r="G24" s="1" t="s">
        <v>424</v>
      </c>
      <c r="H24" s="1" t="s">
        <v>450</v>
      </c>
      <c r="I24" s="1" t="s">
        <v>424</v>
      </c>
      <c r="J24" s="1"/>
      <c r="K24" s="19"/>
    </row>
    <row r="25" spans="1:11" x14ac:dyDescent="0.45">
      <c r="A25" s="1" t="s">
        <v>703</v>
      </c>
      <c r="B25" s="1" t="s">
        <v>307</v>
      </c>
      <c r="C25" s="1" t="s">
        <v>424</v>
      </c>
      <c r="D25" s="1" t="s">
        <v>307</v>
      </c>
      <c r="E25" s="1" t="s">
        <v>423</v>
      </c>
      <c r="F25" s="1" t="s">
        <v>525</v>
      </c>
      <c r="G25" s="1" t="s">
        <v>424</v>
      </c>
      <c r="H25" s="1" t="s">
        <v>450</v>
      </c>
      <c r="I25" s="1" t="s">
        <v>707</v>
      </c>
      <c r="J25" s="1"/>
      <c r="K25" s="19"/>
    </row>
    <row r="26" spans="1:11" x14ac:dyDescent="0.45">
      <c r="A26" s="1" t="s">
        <v>711</v>
      </c>
      <c r="B26" s="1" t="s">
        <v>307</v>
      </c>
      <c r="C26" s="1" t="s">
        <v>424</v>
      </c>
      <c r="D26" s="1" t="s">
        <v>307</v>
      </c>
      <c r="E26" s="1" t="s">
        <v>423</v>
      </c>
      <c r="F26" s="1" t="s">
        <v>419</v>
      </c>
      <c r="G26" s="1" t="s">
        <v>424</v>
      </c>
      <c r="H26" s="1" t="s">
        <v>719</v>
      </c>
      <c r="I26" s="1" t="s">
        <v>424</v>
      </c>
      <c r="J26" s="1"/>
      <c r="K26" s="19"/>
    </row>
    <row r="27" spans="1:11" x14ac:dyDescent="0.45">
      <c r="A27" s="1" t="s">
        <v>725</v>
      </c>
      <c r="B27" s="1" t="s">
        <v>307</v>
      </c>
      <c r="C27" s="1" t="s">
        <v>424</v>
      </c>
      <c r="D27" s="1" t="s">
        <v>307</v>
      </c>
      <c r="E27" s="1" t="s">
        <v>423</v>
      </c>
      <c r="F27" s="1" t="s">
        <v>732</v>
      </c>
      <c r="G27" s="1" t="s">
        <v>424</v>
      </c>
      <c r="H27" s="1" t="s">
        <v>450</v>
      </c>
      <c r="I27" s="1" t="s">
        <v>424</v>
      </c>
      <c r="J27" s="1"/>
      <c r="K27" s="19"/>
    </row>
    <row r="28" spans="1:11" x14ac:dyDescent="0.45">
      <c r="A28" s="1" t="s">
        <v>737</v>
      </c>
      <c r="B28" s="1" t="s">
        <v>307</v>
      </c>
      <c r="C28" s="1" t="s">
        <v>424</v>
      </c>
      <c r="D28" s="1" t="s">
        <v>424</v>
      </c>
      <c r="E28" s="1" t="s">
        <v>551</v>
      </c>
      <c r="F28" s="1" t="s">
        <v>741</v>
      </c>
      <c r="G28" s="1" t="s">
        <v>424</v>
      </c>
      <c r="H28" s="1" t="s">
        <v>424</v>
      </c>
      <c r="I28" s="1" t="s">
        <v>742</v>
      </c>
      <c r="J28" s="1"/>
      <c r="K28" s="19"/>
    </row>
    <row r="29" spans="1:11" x14ac:dyDescent="0.45">
      <c r="A29" s="1" t="s">
        <v>745</v>
      </c>
      <c r="B29" s="1" t="s">
        <v>307</v>
      </c>
      <c r="C29" s="1" t="s">
        <v>424</v>
      </c>
      <c r="D29" s="1" t="s">
        <v>424</v>
      </c>
      <c r="E29" s="1" t="s">
        <v>551</v>
      </c>
      <c r="F29" s="1" t="s">
        <v>419</v>
      </c>
      <c r="G29" s="1" t="s">
        <v>424</v>
      </c>
      <c r="H29" s="1" t="s">
        <v>424</v>
      </c>
      <c r="I29" s="1" t="s">
        <v>424</v>
      </c>
      <c r="J29" s="1"/>
      <c r="K29" s="19"/>
    </row>
    <row r="30" spans="1:11" x14ac:dyDescent="0.45">
      <c r="A30" s="1" t="s">
        <v>755</v>
      </c>
      <c r="B30" s="1" t="s">
        <v>307</v>
      </c>
      <c r="C30" s="1" t="s">
        <v>424</v>
      </c>
      <c r="D30" s="1" t="s">
        <v>307</v>
      </c>
      <c r="E30" s="1" t="s">
        <v>423</v>
      </c>
      <c r="F30" s="1" t="s">
        <v>419</v>
      </c>
      <c r="G30" s="1" t="s">
        <v>424</v>
      </c>
      <c r="H30" s="1" t="s">
        <v>758</v>
      </c>
      <c r="I30" s="1" t="s">
        <v>424</v>
      </c>
      <c r="J30" s="1"/>
      <c r="K30" s="19"/>
    </row>
    <row r="31" spans="1:11" x14ac:dyDescent="0.45">
      <c r="A31" s="1" t="s">
        <v>762</v>
      </c>
      <c r="B31" s="1" t="s">
        <v>307</v>
      </c>
      <c r="C31" s="1" t="s">
        <v>424</v>
      </c>
      <c r="D31" s="1" t="s">
        <v>307</v>
      </c>
      <c r="E31" s="1" t="s">
        <v>423</v>
      </c>
      <c r="F31" s="1" t="s">
        <v>525</v>
      </c>
      <c r="G31" s="1" t="s">
        <v>424</v>
      </c>
      <c r="H31" s="1" t="s">
        <v>450</v>
      </c>
      <c r="I31" s="1" t="s">
        <v>467</v>
      </c>
      <c r="J31" s="1" t="s">
        <v>766</v>
      </c>
      <c r="K31" s="19"/>
    </row>
    <row r="32" spans="1:11" x14ac:dyDescent="0.45">
      <c r="A32" s="1" t="s">
        <v>777</v>
      </c>
      <c r="B32" s="1" t="s">
        <v>424</v>
      </c>
      <c r="C32" s="1" t="s">
        <v>307</v>
      </c>
      <c r="D32" s="1" t="s">
        <v>307</v>
      </c>
      <c r="E32" s="1" t="s">
        <v>447</v>
      </c>
      <c r="F32" s="1" t="s">
        <v>424</v>
      </c>
      <c r="G32" s="1" t="s">
        <v>774</v>
      </c>
      <c r="H32" s="1" t="s">
        <v>450</v>
      </c>
      <c r="I32" s="1" t="s">
        <v>775</v>
      </c>
      <c r="J32" s="1"/>
      <c r="K32" s="19"/>
    </row>
    <row r="33" spans="1:11" x14ac:dyDescent="0.45">
      <c r="A33" s="1" t="s">
        <v>789</v>
      </c>
      <c r="B33" s="1" t="s">
        <v>307</v>
      </c>
      <c r="C33" s="1" t="s">
        <v>424</v>
      </c>
      <c r="D33" s="1" t="s">
        <v>307</v>
      </c>
      <c r="E33" s="1" t="s">
        <v>423</v>
      </c>
      <c r="F33" s="1" t="s">
        <v>797</v>
      </c>
      <c r="G33" s="1" t="s">
        <v>424</v>
      </c>
      <c r="H33" s="1" t="s">
        <v>450</v>
      </c>
      <c r="I33" s="1" t="s">
        <v>424</v>
      </c>
      <c r="J33" s="1"/>
      <c r="K33" s="19"/>
    </row>
    <row r="34" spans="1:11" x14ac:dyDescent="0.45">
      <c r="A34" s="1" t="s">
        <v>800</v>
      </c>
      <c r="B34" s="1" t="s">
        <v>307</v>
      </c>
      <c r="C34" s="1" t="s">
        <v>424</v>
      </c>
      <c r="D34" s="1" t="s">
        <v>307</v>
      </c>
      <c r="E34" s="1" t="s">
        <v>423</v>
      </c>
      <c r="F34" s="1" t="s">
        <v>419</v>
      </c>
      <c r="G34" s="1" t="s">
        <v>424</v>
      </c>
      <c r="H34" s="1" t="s">
        <v>450</v>
      </c>
      <c r="I34" s="1" t="s">
        <v>467</v>
      </c>
      <c r="J34" s="1"/>
      <c r="K34" s="19"/>
    </row>
    <row r="35" spans="1:11" x14ac:dyDescent="0.45">
      <c r="A35" s="1" t="s">
        <v>807</v>
      </c>
      <c r="B35" s="1" t="s">
        <v>307</v>
      </c>
      <c r="C35" s="1" t="s">
        <v>307</v>
      </c>
      <c r="D35" s="1" t="s">
        <v>307</v>
      </c>
      <c r="E35" s="1" t="s">
        <v>513</v>
      </c>
      <c r="F35" s="1" t="s">
        <v>741</v>
      </c>
      <c r="G35" s="1" t="s">
        <v>811</v>
      </c>
      <c r="H35" s="1" t="s">
        <v>450</v>
      </c>
      <c r="I35" s="1" t="s">
        <v>812</v>
      </c>
      <c r="J35" s="1"/>
      <c r="K35" s="19"/>
    </row>
    <row r="36" spans="1:11" x14ac:dyDescent="0.45">
      <c r="A36" s="1" t="s">
        <v>814</v>
      </c>
      <c r="B36" s="1" t="s">
        <v>307</v>
      </c>
      <c r="C36" s="1" t="s">
        <v>424</v>
      </c>
      <c r="D36" s="1" t="s">
        <v>424</v>
      </c>
      <c r="E36" s="1" t="s">
        <v>551</v>
      </c>
      <c r="F36" s="1" t="s">
        <v>741</v>
      </c>
      <c r="G36" s="1" t="s">
        <v>424</v>
      </c>
      <c r="H36" s="1" t="s">
        <v>424</v>
      </c>
      <c r="I36" s="1" t="s">
        <v>424</v>
      </c>
      <c r="J36" s="1"/>
      <c r="K36" s="19"/>
    </row>
    <row r="37" spans="1:11" x14ac:dyDescent="0.45">
      <c r="A37" s="1" t="s">
        <v>829</v>
      </c>
      <c r="B37" s="1" t="s">
        <v>307</v>
      </c>
      <c r="C37" s="1" t="s">
        <v>424</v>
      </c>
      <c r="D37" s="1" t="s">
        <v>307</v>
      </c>
      <c r="E37" s="1" t="s">
        <v>423</v>
      </c>
      <c r="F37" s="1" t="s">
        <v>741</v>
      </c>
      <c r="G37" s="1" t="s">
        <v>424</v>
      </c>
      <c r="H37" s="1" t="s">
        <v>450</v>
      </c>
      <c r="I37" s="1" t="s">
        <v>831</v>
      </c>
      <c r="J37" s="1"/>
      <c r="K37" s="19"/>
    </row>
    <row r="38" spans="1:11" x14ac:dyDescent="0.45">
      <c r="A38" s="1" t="s">
        <v>837</v>
      </c>
      <c r="B38" s="1" t="s">
        <v>307</v>
      </c>
      <c r="C38" s="1" t="s">
        <v>424</v>
      </c>
      <c r="D38" s="1" t="s">
        <v>307</v>
      </c>
      <c r="E38" s="1" t="s">
        <v>842</v>
      </c>
      <c r="F38" s="1" t="s">
        <v>419</v>
      </c>
      <c r="G38" s="1" t="s">
        <v>424</v>
      </c>
      <c r="H38" s="1" t="s">
        <v>450</v>
      </c>
      <c r="I38" s="1" t="s">
        <v>424</v>
      </c>
      <c r="J38" s="1" t="s">
        <v>419</v>
      </c>
      <c r="K38" s="19"/>
    </row>
    <row r="39" spans="1:11" x14ac:dyDescent="0.45">
      <c r="A39" s="1" t="s">
        <v>847</v>
      </c>
      <c r="B39" s="1" t="s">
        <v>307</v>
      </c>
      <c r="C39" s="1" t="s">
        <v>424</v>
      </c>
      <c r="D39" s="1" t="s">
        <v>307</v>
      </c>
      <c r="E39" s="1" t="s">
        <v>423</v>
      </c>
      <c r="F39" s="1" t="s">
        <v>741</v>
      </c>
      <c r="G39" s="1" t="s">
        <v>424</v>
      </c>
      <c r="H39" s="1" t="s">
        <v>450</v>
      </c>
      <c r="I39" s="1" t="s">
        <v>628</v>
      </c>
      <c r="J39" s="1"/>
      <c r="K39" s="19"/>
    </row>
    <row r="40" spans="1:11" x14ac:dyDescent="0.45">
      <c r="A40" s="1" t="s">
        <v>852</v>
      </c>
      <c r="B40" s="1" t="s">
        <v>424</v>
      </c>
      <c r="C40" s="1" t="s">
        <v>307</v>
      </c>
      <c r="D40" s="1" t="s">
        <v>307</v>
      </c>
      <c r="E40" s="1" t="s">
        <v>447</v>
      </c>
      <c r="F40" s="1" t="s">
        <v>424</v>
      </c>
      <c r="G40" s="1" t="s">
        <v>567</v>
      </c>
      <c r="H40" s="1" t="s">
        <v>450</v>
      </c>
      <c r="I40" s="1" t="s">
        <v>855</v>
      </c>
      <c r="J40" s="1"/>
      <c r="K40" s="19"/>
    </row>
    <row r="41" spans="1:11" x14ac:dyDescent="0.45">
      <c r="A41" s="1" t="s">
        <v>860</v>
      </c>
      <c r="B41" s="1" t="s">
        <v>307</v>
      </c>
      <c r="C41" s="1" t="s">
        <v>424</v>
      </c>
      <c r="D41" s="1" t="s">
        <v>307</v>
      </c>
      <c r="E41" s="1" t="s">
        <v>423</v>
      </c>
      <c r="F41" s="1" t="s">
        <v>419</v>
      </c>
      <c r="G41" s="1" t="s">
        <v>424</v>
      </c>
      <c r="H41" s="1" t="s">
        <v>316</v>
      </c>
      <c r="I41" s="1" t="s">
        <v>467</v>
      </c>
      <c r="J41" s="1" t="s">
        <v>419</v>
      </c>
      <c r="K41" s="19"/>
    </row>
    <row r="42" spans="1:11" x14ac:dyDescent="0.45">
      <c r="A42" s="1" t="s">
        <v>871</v>
      </c>
      <c r="B42" s="1" t="s">
        <v>307</v>
      </c>
      <c r="C42" s="1" t="s">
        <v>424</v>
      </c>
      <c r="D42" s="1" t="s">
        <v>307</v>
      </c>
      <c r="E42" s="1" t="s">
        <v>423</v>
      </c>
      <c r="F42" s="1" t="s">
        <v>419</v>
      </c>
      <c r="G42" s="1" t="s">
        <v>424</v>
      </c>
      <c r="H42" s="1" t="s">
        <v>876</v>
      </c>
      <c r="I42" s="1" t="s">
        <v>424</v>
      </c>
      <c r="J42" s="1" t="s">
        <v>424</v>
      </c>
    </row>
  </sheetData>
  <autoFilter ref="A1:J42" xr:uid="{43E221DF-6B2C-49D4-937E-67E07BF60853}"/>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C1AE-9261-4ECC-90FD-54641DA69A26}">
  <dimension ref="A1:E42"/>
  <sheetViews>
    <sheetView workbookViewId="0">
      <selection activeCell="E31" sqref="E31"/>
    </sheetView>
  </sheetViews>
  <sheetFormatPr defaultRowHeight="14.25" x14ac:dyDescent="0.45"/>
  <cols>
    <col min="1" max="1" width="11.86328125" bestFit="1" customWidth="1"/>
    <col min="2" max="2" width="11.265625" bestFit="1" customWidth="1"/>
    <col min="3" max="3" width="10.86328125" bestFit="1" customWidth="1"/>
    <col min="4" max="4" width="10.86328125" customWidth="1"/>
    <col min="5" max="5" width="14.3984375" bestFit="1" customWidth="1"/>
  </cols>
  <sheetData>
    <row r="1" spans="1:5" x14ac:dyDescent="0.45">
      <c r="A1" s="2" t="s">
        <v>386</v>
      </c>
      <c r="B1" s="2" t="s">
        <v>385</v>
      </c>
      <c r="C1" s="2" t="s">
        <v>387</v>
      </c>
      <c r="D1" s="2" t="s">
        <v>478</v>
      </c>
      <c r="E1" s="2" t="s">
        <v>388</v>
      </c>
    </row>
    <row r="2" spans="1:5" x14ac:dyDescent="0.45">
      <c r="A2" s="1" t="s">
        <v>408</v>
      </c>
      <c r="B2" s="1" t="s">
        <v>409</v>
      </c>
      <c r="C2" s="10" t="s">
        <v>307</v>
      </c>
      <c r="D2" s="10" t="s">
        <v>424</v>
      </c>
      <c r="E2" s="10" t="s">
        <v>424</v>
      </c>
    </row>
    <row r="3" spans="1:5" x14ac:dyDescent="0.45">
      <c r="A3" s="1" t="s">
        <v>443</v>
      </c>
      <c r="B3" s="1" t="s">
        <v>444</v>
      </c>
      <c r="C3" s="10" t="s">
        <v>307</v>
      </c>
      <c r="D3" s="10" t="s">
        <v>424</v>
      </c>
      <c r="E3" s="10" t="s">
        <v>424</v>
      </c>
    </row>
    <row r="4" spans="1:5" x14ac:dyDescent="0.45">
      <c r="A4" s="1" t="s">
        <v>464</v>
      </c>
      <c r="B4" s="1" t="s">
        <v>465</v>
      </c>
      <c r="C4" s="10" t="s">
        <v>307</v>
      </c>
      <c r="D4" s="10" t="s">
        <v>424</v>
      </c>
      <c r="E4" s="10" t="s">
        <v>424</v>
      </c>
    </row>
    <row r="5" spans="1:5" x14ac:dyDescent="0.45">
      <c r="A5" s="1" t="s">
        <v>474</v>
      </c>
      <c r="B5" s="1" t="s">
        <v>475</v>
      </c>
      <c r="C5" s="10" t="s">
        <v>424</v>
      </c>
      <c r="D5" s="10" t="s">
        <v>307</v>
      </c>
      <c r="E5" s="10" t="s">
        <v>424</v>
      </c>
    </row>
    <row r="6" spans="1:5" x14ac:dyDescent="0.45">
      <c r="A6" s="1" t="s">
        <v>488</v>
      </c>
      <c r="B6" s="1" t="s">
        <v>489</v>
      </c>
      <c r="C6" s="10" t="s">
        <v>307</v>
      </c>
      <c r="D6" s="10" t="s">
        <v>424</v>
      </c>
      <c r="E6" s="10" t="s">
        <v>424</v>
      </c>
    </row>
    <row r="7" spans="1:5" x14ac:dyDescent="0.45">
      <c r="A7" s="1" t="s">
        <v>506</v>
      </c>
      <c r="B7" s="1" t="s">
        <v>507</v>
      </c>
      <c r="C7" s="10" t="s">
        <v>307</v>
      </c>
      <c r="D7" s="10" t="s">
        <v>424</v>
      </c>
      <c r="E7" s="10" t="s">
        <v>424</v>
      </c>
    </row>
    <row r="8" spans="1:5" x14ac:dyDescent="0.45">
      <c r="A8" s="1" t="s">
        <v>519</v>
      </c>
      <c r="B8" s="1" t="s">
        <v>520</v>
      </c>
      <c r="C8" s="10" t="s">
        <v>307</v>
      </c>
      <c r="D8" s="10" t="s">
        <v>424</v>
      </c>
      <c r="E8" s="10" t="s">
        <v>424</v>
      </c>
    </row>
    <row r="9" spans="1:5" x14ac:dyDescent="0.45">
      <c r="A9" s="1" t="s">
        <v>539</v>
      </c>
      <c r="B9" s="1" t="s">
        <v>538</v>
      </c>
      <c r="C9" s="10" t="s">
        <v>307</v>
      </c>
      <c r="D9" s="10" t="s">
        <v>424</v>
      </c>
      <c r="E9" s="10" t="s">
        <v>424</v>
      </c>
    </row>
    <row r="10" spans="1:5" x14ac:dyDescent="0.45">
      <c r="A10" s="1" t="s">
        <v>546</v>
      </c>
      <c r="B10" s="1" t="s">
        <v>547</v>
      </c>
      <c r="C10" s="10" t="s">
        <v>307</v>
      </c>
      <c r="D10" s="10" t="s">
        <v>424</v>
      </c>
      <c r="E10" s="10" t="s">
        <v>424</v>
      </c>
    </row>
    <row r="11" spans="1:5" x14ac:dyDescent="0.45">
      <c r="A11" s="1" t="s">
        <v>556</v>
      </c>
      <c r="B11" s="1" t="s">
        <v>557</v>
      </c>
      <c r="C11" s="10" t="s">
        <v>307</v>
      </c>
      <c r="D11" s="10" t="s">
        <v>424</v>
      </c>
      <c r="E11" s="10" t="s">
        <v>424</v>
      </c>
    </row>
    <row r="12" spans="1:5" x14ac:dyDescent="0.45">
      <c r="A12" s="1" t="s">
        <v>564</v>
      </c>
      <c r="B12" s="1" t="s">
        <v>565</v>
      </c>
      <c r="C12" s="10" t="s">
        <v>307</v>
      </c>
      <c r="D12" s="10" t="s">
        <v>424</v>
      </c>
      <c r="E12" s="10" t="s">
        <v>424</v>
      </c>
    </row>
    <row r="13" spans="1:5" x14ac:dyDescent="0.45">
      <c r="A13" s="1" t="s">
        <v>580</v>
      </c>
      <c r="B13" s="1" t="s">
        <v>579</v>
      </c>
      <c r="C13" s="10" t="s">
        <v>307</v>
      </c>
      <c r="D13" s="10" t="s">
        <v>424</v>
      </c>
      <c r="E13" s="10" t="s">
        <v>424</v>
      </c>
    </row>
    <row r="14" spans="1:5" x14ac:dyDescent="0.45">
      <c r="A14" s="1" t="s">
        <v>589</v>
      </c>
      <c r="B14" s="1" t="s">
        <v>489</v>
      </c>
      <c r="C14" s="10" t="s">
        <v>307</v>
      </c>
      <c r="D14" s="10" t="s">
        <v>424</v>
      </c>
      <c r="E14" s="10" t="s">
        <v>424</v>
      </c>
    </row>
    <row r="15" spans="1:5" x14ac:dyDescent="0.45">
      <c r="A15" s="1" t="s">
        <v>600</v>
      </c>
      <c r="B15" s="1" t="s">
        <v>601</v>
      </c>
      <c r="C15" s="10" t="s">
        <v>307</v>
      </c>
      <c r="D15" s="10" t="s">
        <v>424</v>
      </c>
      <c r="E15" s="10" t="s">
        <v>424</v>
      </c>
    </row>
    <row r="16" spans="1:5" x14ac:dyDescent="0.45">
      <c r="A16" s="1" t="s">
        <v>612</v>
      </c>
      <c r="B16" s="1" t="s">
        <v>613</v>
      </c>
      <c r="C16" s="10" t="s">
        <v>307</v>
      </c>
      <c r="D16" s="10" t="s">
        <v>424</v>
      </c>
      <c r="E16" s="10" t="s">
        <v>424</v>
      </c>
    </row>
    <row r="17" spans="1:5" x14ac:dyDescent="0.45">
      <c r="A17" s="1" t="s">
        <v>621</v>
      </c>
      <c r="B17" s="1" t="s">
        <v>622</v>
      </c>
      <c r="C17" s="10" t="s">
        <v>307</v>
      </c>
      <c r="D17" s="10" t="s">
        <v>424</v>
      </c>
      <c r="E17" s="10" t="s">
        <v>424</v>
      </c>
    </row>
    <row r="18" spans="1:5" x14ac:dyDescent="0.45">
      <c r="A18" s="1" t="s">
        <v>631</v>
      </c>
      <c r="B18" s="1" t="s">
        <v>632</v>
      </c>
      <c r="C18" s="10" t="s">
        <v>307</v>
      </c>
      <c r="D18" s="10" t="s">
        <v>424</v>
      </c>
      <c r="E18" s="10" t="s">
        <v>424</v>
      </c>
    </row>
    <row r="19" spans="1:5" x14ac:dyDescent="0.45">
      <c r="A19" s="1" t="s">
        <v>641</v>
      </c>
      <c r="B19" s="1" t="s">
        <v>642</v>
      </c>
      <c r="C19" s="10" t="s">
        <v>307</v>
      </c>
      <c r="D19" s="10" t="s">
        <v>424</v>
      </c>
      <c r="E19" s="10" t="s">
        <v>424</v>
      </c>
    </row>
    <row r="20" spans="1:5" x14ac:dyDescent="0.45">
      <c r="A20" s="1" t="s">
        <v>650</v>
      </c>
      <c r="B20" s="1" t="s">
        <v>651</v>
      </c>
      <c r="C20" s="10" t="s">
        <v>307</v>
      </c>
      <c r="D20" s="10" t="s">
        <v>424</v>
      </c>
      <c r="E20" s="10" t="s">
        <v>424</v>
      </c>
    </row>
    <row r="21" spans="1:5" x14ac:dyDescent="0.45">
      <c r="A21" s="1" t="s">
        <v>660</v>
      </c>
      <c r="B21" s="1" t="s">
        <v>661</v>
      </c>
      <c r="C21" s="10" t="s">
        <v>307</v>
      </c>
      <c r="D21" s="10" t="s">
        <v>424</v>
      </c>
      <c r="E21" s="10" t="s">
        <v>424</v>
      </c>
    </row>
    <row r="22" spans="1:5" x14ac:dyDescent="0.45">
      <c r="A22" s="1" t="s">
        <v>669</v>
      </c>
      <c r="B22" s="1" t="s">
        <v>670</v>
      </c>
      <c r="C22" s="10" t="s">
        <v>307</v>
      </c>
      <c r="D22" s="10" t="s">
        <v>424</v>
      </c>
      <c r="E22" s="10" t="s">
        <v>424</v>
      </c>
    </row>
    <row r="23" spans="1:5" x14ac:dyDescent="0.45">
      <c r="A23" s="1" t="s">
        <v>681</v>
      </c>
      <c r="B23" s="1" t="s">
        <v>680</v>
      </c>
      <c r="C23" s="10" t="s">
        <v>424</v>
      </c>
      <c r="D23" s="10" t="s">
        <v>424</v>
      </c>
      <c r="E23" s="10" t="s">
        <v>307</v>
      </c>
    </row>
    <row r="24" spans="1:5" x14ac:dyDescent="0.45">
      <c r="A24" s="1" t="s">
        <v>692</v>
      </c>
      <c r="B24" s="1" t="s">
        <v>693</v>
      </c>
      <c r="C24" s="10" t="s">
        <v>307</v>
      </c>
      <c r="D24" s="10" t="s">
        <v>424</v>
      </c>
      <c r="E24" s="10" t="s">
        <v>424</v>
      </c>
    </row>
    <row r="25" spans="1:5" x14ac:dyDescent="0.45">
      <c r="A25" s="1" t="s">
        <v>703</v>
      </c>
      <c r="B25" s="1" t="s">
        <v>704</v>
      </c>
      <c r="C25" s="10" t="s">
        <v>424</v>
      </c>
      <c r="D25" s="10" t="s">
        <v>424</v>
      </c>
      <c r="E25" s="10" t="s">
        <v>307</v>
      </c>
    </row>
    <row r="26" spans="1:5" x14ac:dyDescent="0.45">
      <c r="A26" s="1" t="s">
        <v>711</v>
      </c>
      <c r="B26" s="1" t="s">
        <v>712</v>
      </c>
      <c r="C26" s="10" t="s">
        <v>307</v>
      </c>
      <c r="D26" s="10" t="s">
        <v>424</v>
      </c>
      <c r="E26" s="10" t="s">
        <v>424</v>
      </c>
    </row>
    <row r="27" spans="1:5" x14ac:dyDescent="0.45">
      <c r="A27" s="1" t="s">
        <v>725</v>
      </c>
      <c r="B27" s="1" t="s">
        <v>726</v>
      </c>
      <c r="C27" s="10" t="s">
        <v>307</v>
      </c>
      <c r="D27" s="10" t="s">
        <v>424</v>
      </c>
      <c r="E27" s="10" t="s">
        <v>424</v>
      </c>
    </row>
    <row r="28" spans="1:5" x14ac:dyDescent="0.45">
      <c r="A28" s="1" t="s">
        <v>737</v>
      </c>
      <c r="B28" s="1" t="s">
        <v>738</v>
      </c>
      <c r="C28" s="10" t="s">
        <v>307</v>
      </c>
      <c r="D28" s="10" t="s">
        <v>424</v>
      </c>
      <c r="E28" s="10" t="s">
        <v>424</v>
      </c>
    </row>
    <row r="29" spans="1:5" x14ac:dyDescent="0.45">
      <c r="A29" s="1" t="s">
        <v>745</v>
      </c>
      <c r="B29" s="1" t="s">
        <v>746</v>
      </c>
      <c r="C29" s="10" t="s">
        <v>307</v>
      </c>
      <c r="D29" s="10" t="s">
        <v>424</v>
      </c>
      <c r="E29" s="10" t="s">
        <v>424</v>
      </c>
    </row>
    <row r="30" spans="1:5" x14ac:dyDescent="0.45">
      <c r="A30" s="1" t="s">
        <v>755</v>
      </c>
      <c r="B30" s="1" t="s">
        <v>670</v>
      </c>
      <c r="C30" s="10" t="s">
        <v>307</v>
      </c>
      <c r="D30" s="10" t="s">
        <v>424</v>
      </c>
      <c r="E30" s="10" t="s">
        <v>424</v>
      </c>
    </row>
    <row r="31" spans="1:5" x14ac:dyDescent="0.45">
      <c r="A31" s="1" t="s">
        <v>762</v>
      </c>
      <c r="B31" s="1" t="s">
        <v>763</v>
      </c>
      <c r="C31" s="10" t="s">
        <v>424</v>
      </c>
      <c r="D31" s="10" t="s">
        <v>307</v>
      </c>
      <c r="E31" s="10" t="s">
        <v>424</v>
      </c>
    </row>
    <row r="32" spans="1:5" x14ac:dyDescent="0.45">
      <c r="A32" s="1" t="s">
        <v>777</v>
      </c>
      <c r="B32" s="1" t="s">
        <v>778</v>
      </c>
      <c r="C32" s="10" t="s">
        <v>307</v>
      </c>
      <c r="D32" s="10" t="s">
        <v>424</v>
      </c>
      <c r="E32" s="10" t="s">
        <v>424</v>
      </c>
    </row>
    <row r="33" spans="1:5" x14ac:dyDescent="0.45">
      <c r="A33" s="1" t="s">
        <v>789</v>
      </c>
      <c r="B33" s="1" t="s">
        <v>790</v>
      </c>
      <c r="C33" s="10" t="s">
        <v>424</v>
      </c>
      <c r="D33" s="10" t="s">
        <v>307</v>
      </c>
      <c r="E33" s="10" t="s">
        <v>424</v>
      </c>
    </row>
    <row r="34" spans="1:5" x14ac:dyDescent="0.45">
      <c r="A34" s="1" t="s">
        <v>800</v>
      </c>
      <c r="B34" s="1" t="s">
        <v>801</v>
      </c>
      <c r="C34" s="10" t="s">
        <v>307</v>
      </c>
      <c r="D34" s="10" t="s">
        <v>424</v>
      </c>
      <c r="E34" s="10" t="s">
        <v>424</v>
      </c>
    </row>
    <row r="35" spans="1:5" x14ac:dyDescent="0.45">
      <c r="A35" s="1" t="s">
        <v>807</v>
      </c>
      <c r="B35" s="1" t="s">
        <v>808</v>
      </c>
      <c r="C35" s="10" t="s">
        <v>307</v>
      </c>
      <c r="D35" s="10" t="s">
        <v>424</v>
      </c>
      <c r="E35" s="10" t="s">
        <v>424</v>
      </c>
    </row>
    <row r="36" spans="1:5" x14ac:dyDescent="0.45">
      <c r="A36" s="1" t="s">
        <v>814</v>
      </c>
      <c r="B36" s="1" t="s">
        <v>815</v>
      </c>
      <c r="C36" s="10" t="s">
        <v>307</v>
      </c>
      <c r="D36" s="10" t="s">
        <v>424</v>
      </c>
      <c r="E36" s="10" t="s">
        <v>424</v>
      </c>
    </row>
    <row r="37" spans="1:5" x14ac:dyDescent="0.45">
      <c r="A37" s="1" t="s">
        <v>829</v>
      </c>
      <c r="B37" s="1" t="s">
        <v>830</v>
      </c>
      <c r="C37" s="10" t="s">
        <v>307</v>
      </c>
      <c r="D37" s="10" t="s">
        <v>424</v>
      </c>
      <c r="E37" s="10" t="s">
        <v>424</v>
      </c>
    </row>
    <row r="38" spans="1:5" x14ac:dyDescent="0.45">
      <c r="A38" s="1" t="s">
        <v>837</v>
      </c>
      <c r="B38" s="1" t="s">
        <v>839</v>
      </c>
      <c r="C38" s="10" t="s">
        <v>307</v>
      </c>
      <c r="D38" s="10" t="s">
        <v>424</v>
      </c>
      <c r="E38" s="10" t="s">
        <v>424</v>
      </c>
    </row>
    <row r="39" spans="1:5" x14ac:dyDescent="0.45">
      <c r="A39" s="1" t="s">
        <v>847</v>
      </c>
      <c r="B39" s="1" t="s">
        <v>848</v>
      </c>
      <c r="C39" s="10" t="s">
        <v>307</v>
      </c>
      <c r="D39" s="10" t="s">
        <v>424</v>
      </c>
      <c r="E39" s="10" t="s">
        <v>424</v>
      </c>
    </row>
    <row r="40" spans="1:5" x14ac:dyDescent="0.45">
      <c r="A40" s="1" t="s">
        <v>852</v>
      </c>
      <c r="B40" s="1" t="s">
        <v>853</v>
      </c>
      <c r="C40" s="10" t="s">
        <v>307</v>
      </c>
      <c r="D40" s="10" t="s">
        <v>424</v>
      </c>
      <c r="E40" s="10" t="s">
        <v>424</v>
      </c>
    </row>
    <row r="41" spans="1:5" x14ac:dyDescent="0.45">
      <c r="A41" s="1" t="s">
        <v>860</v>
      </c>
      <c r="B41" s="1" t="s">
        <v>861</v>
      </c>
      <c r="C41" s="10" t="s">
        <v>307</v>
      </c>
      <c r="D41" s="10" t="s">
        <v>424</v>
      </c>
      <c r="E41" s="10" t="s">
        <v>424</v>
      </c>
    </row>
    <row r="42" spans="1:5" x14ac:dyDescent="0.45">
      <c r="A42" s="1" t="s">
        <v>871</v>
      </c>
      <c r="B42" s="1" t="s">
        <v>870</v>
      </c>
      <c r="C42" s="10" t="s">
        <v>307</v>
      </c>
      <c r="D42" s="10" t="s">
        <v>424</v>
      </c>
      <c r="E42" s="10" t="s">
        <v>424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180B-AC72-4DEE-B5A6-2AA02CC8BE3B}">
  <dimension ref="A1:AA45"/>
  <sheetViews>
    <sheetView zoomScale="70" zoomScaleNormal="70" workbookViewId="0">
      <selection activeCell="C29" sqref="C29:F29"/>
    </sheetView>
  </sheetViews>
  <sheetFormatPr defaultRowHeight="14.25" x14ac:dyDescent="0.45"/>
  <cols>
    <col min="1" max="1" width="85.3984375" bestFit="1" customWidth="1"/>
    <col min="2" max="2" width="26" bestFit="1" customWidth="1"/>
    <col min="3" max="3" width="19.59765625" bestFit="1" customWidth="1"/>
    <col min="4" max="4" width="11.265625" bestFit="1" customWidth="1"/>
    <col min="5" max="5" width="6.59765625" bestFit="1" customWidth="1"/>
    <col min="6" max="6" width="9.86328125" bestFit="1" customWidth="1"/>
    <col min="7" max="7" width="26.59765625" bestFit="1" customWidth="1"/>
    <col min="8" max="8" width="12.1328125" bestFit="1" customWidth="1"/>
    <col min="9" max="9" width="11.59765625" bestFit="1" customWidth="1"/>
    <col min="10" max="10" width="15.59765625" bestFit="1" customWidth="1"/>
    <col min="11" max="11" width="14.265625" bestFit="1" customWidth="1"/>
    <col min="12" max="12" width="11.265625" bestFit="1" customWidth="1"/>
    <col min="13" max="13" width="11.86328125" bestFit="1" customWidth="1"/>
    <col min="14" max="14" width="12" bestFit="1" customWidth="1"/>
    <col min="15" max="15" width="11" bestFit="1" customWidth="1"/>
    <col min="17" max="17" width="15.265625" bestFit="1" customWidth="1"/>
    <col min="18" max="18" width="18.1328125" bestFit="1" customWidth="1"/>
    <col min="19" max="19" width="18.1328125" customWidth="1"/>
    <col min="20" max="20" width="15.3984375" bestFit="1" customWidth="1"/>
    <col min="21" max="21" width="24" bestFit="1" customWidth="1"/>
    <col min="22" max="22" width="24.73046875" bestFit="1" customWidth="1"/>
    <col min="23" max="23" width="45.3984375" bestFit="1" customWidth="1"/>
    <col min="24" max="24" width="18" bestFit="1" customWidth="1"/>
    <col min="25" max="25" width="14.73046875" bestFit="1" customWidth="1"/>
    <col min="26" max="26" width="39.3984375" bestFit="1" customWidth="1"/>
    <col min="27" max="27" width="40.59765625" bestFit="1" customWidth="1"/>
  </cols>
  <sheetData>
    <row r="1" spans="1:27" x14ac:dyDescent="0.45">
      <c r="A1" s="4" t="s">
        <v>89</v>
      </c>
      <c r="B1" s="2" t="s">
        <v>51</v>
      </c>
      <c r="C1" s="2" t="s">
        <v>386</v>
      </c>
      <c r="D1" s="2" t="s">
        <v>385</v>
      </c>
      <c r="E1" s="2" t="s">
        <v>313</v>
      </c>
      <c r="F1" s="2" t="s">
        <v>426</v>
      </c>
      <c r="G1" s="2" t="s">
        <v>496</v>
      </c>
      <c r="H1" s="2" t="s">
        <v>883</v>
      </c>
      <c r="I1" s="2" t="s">
        <v>884</v>
      </c>
      <c r="J1" s="2" t="s">
        <v>403</v>
      </c>
      <c r="K1" s="2" t="s">
        <v>402</v>
      </c>
      <c r="L1" s="2" t="s">
        <v>406</v>
      </c>
      <c r="M1" s="2" t="s">
        <v>394</v>
      </c>
      <c r="N1" s="2" t="s">
        <v>395</v>
      </c>
      <c r="O1" s="2" t="s">
        <v>397</v>
      </c>
      <c r="P1" s="2" t="s">
        <v>398</v>
      </c>
      <c r="Q1" s="2" t="s">
        <v>399</v>
      </c>
      <c r="R1" s="2" t="s">
        <v>407</v>
      </c>
      <c r="S1" s="2" t="s">
        <v>502</v>
      </c>
      <c r="T1" s="2" t="s">
        <v>400</v>
      </c>
      <c r="U1" s="2" t="s">
        <v>500</v>
      </c>
      <c r="V1" s="2" t="s">
        <v>499</v>
      </c>
      <c r="W1" s="2" t="s">
        <v>451</v>
      </c>
      <c r="X1" s="2" t="s">
        <v>501</v>
      </c>
      <c r="Y1" s="2" t="s">
        <v>515</v>
      </c>
      <c r="Z1" s="2" t="s">
        <v>401</v>
      </c>
      <c r="AA1" s="2" t="s">
        <v>720</v>
      </c>
    </row>
    <row r="2" spans="1:27" x14ac:dyDescent="0.45">
      <c r="A2" s="1" t="s">
        <v>102</v>
      </c>
      <c r="B2" s="1" t="s">
        <v>19</v>
      </c>
      <c r="C2" s="1" t="s">
        <v>408</v>
      </c>
      <c r="D2" s="1" t="s">
        <v>409</v>
      </c>
      <c r="E2" s="1">
        <v>2024</v>
      </c>
      <c r="F2" s="1" t="s">
        <v>427</v>
      </c>
      <c r="G2" s="1" t="s">
        <v>459</v>
      </c>
      <c r="H2" s="13" t="s">
        <v>424</v>
      </c>
      <c r="I2" s="1" t="s">
        <v>307</v>
      </c>
      <c r="J2" s="1" t="s">
        <v>307</v>
      </c>
      <c r="K2" s="13" t="s">
        <v>424</v>
      </c>
      <c r="L2" s="1" t="s">
        <v>307</v>
      </c>
      <c r="M2" s="1" t="s">
        <v>424</v>
      </c>
      <c r="N2" s="1" t="s">
        <v>424</v>
      </c>
      <c r="O2" s="1" t="s">
        <v>307</v>
      </c>
      <c r="P2" s="1" t="s">
        <v>424</v>
      </c>
      <c r="Q2" s="1" t="s">
        <v>424</v>
      </c>
      <c r="R2" s="1" t="s">
        <v>413</v>
      </c>
      <c r="S2" s="1" t="s">
        <v>424</v>
      </c>
      <c r="T2" s="1" t="s">
        <v>430</v>
      </c>
      <c r="U2" s="1" t="s">
        <v>307</v>
      </c>
      <c r="V2" s="1" t="s">
        <v>307</v>
      </c>
      <c r="W2" s="1" t="s">
        <v>487</v>
      </c>
      <c r="X2" s="1" t="s">
        <v>424</v>
      </c>
      <c r="Y2" s="1" t="s">
        <v>424</v>
      </c>
      <c r="Z2" s="1" t="s">
        <v>424</v>
      </c>
      <c r="AA2" s="1" t="s">
        <v>424</v>
      </c>
    </row>
    <row r="3" spans="1:27" x14ac:dyDescent="0.45">
      <c r="A3" s="1" t="s">
        <v>442</v>
      </c>
      <c r="B3" s="1" t="s">
        <v>170</v>
      </c>
      <c r="C3" s="1" t="s">
        <v>443</v>
      </c>
      <c r="D3" s="1" t="s">
        <v>444</v>
      </c>
      <c r="E3" s="1">
        <v>2021</v>
      </c>
      <c r="F3" s="1" t="s">
        <v>449</v>
      </c>
      <c r="G3" s="1" t="s">
        <v>452</v>
      </c>
      <c r="H3" s="1" t="s">
        <v>307</v>
      </c>
      <c r="I3" s="1" t="s">
        <v>424</v>
      </c>
      <c r="J3" s="1" t="s">
        <v>307</v>
      </c>
      <c r="K3" s="1" t="s">
        <v>424</v>
      </c>
      <c r="L3" s="1" t="s">
        <v>307</v>
      </c>
      <c r="M3" s="1" t="s">
        <v>307</v>
      </c>
      <c r="N3" s="1" t="s">
        <v>424</v>
      </c>
      <c r="O3" s="1" t="s">
        <v>424</v>
      </c>
      <c r="P3" s="1" t="s">
        <v>424</v>
      </c>
      <c r="Q3" s="1" t="s">
        <v>424</v>
      </c>
      <c r="R3" s="1" t="s">
        <v>446</v>
      </c>
      <c r="S3" s="1" t="s">
        <v>424</v>
      </c>
      <c r="T3" s="1" t="s">
        <v>438</v>
      </c>
      <c r="U3" s="1" t="s">
        <v>307</v>
      </c>
      <c r="V3" s="1" t="s">
        <v>307</v>
      </c>
      <c r="W3" s="1" t="s">
        <v>456</v>
      </c>
      <c r="X3" s="1" t="s">
        <v>424</v>
      </c>
      <c r="Y3" s="1" t="s">
        <v>424</v>
      </c>
      <c r="Z3" s="1" t="s">
        <v>424</v>
      </c>
      <c r="AA3" s="14" t="s">
        <v>470</v>
      </c>
    </row>
    <row r="4" spans="1:27" x14ac:dyDescent="0.45">
      <c r="A4" s="1" t="s">
        <v>104</v>
      </c>
      <c r="B4" s="1" t="s">
        <v>44</v>
      </c>
      <c r="C4" s="1" t="s">
        <v>464</v>
      </c>
      <c r="D4" s="1" t="s">
        <v>465</v>
      </c>
      <c r="E4" s="1">
        <v>2025</v>
      </c>
      <c r="F4" s="1" t="s">
        <v>427</v>
      </c>
      <c r="G4" s="1" t="s">
        <v>459</v>
      </c>
      <c r="H4" s="1" t="s">
        <v>307</v>
      </c>
      <c r="I4" s="1" t="s">
        <v>424</v>
      </c>
      <c r="J4" s="1" t="s">
        <v>307</v>
      </c>
      <c r="K4" s="1" t="s">
        <v>424</v>
      </c>
      <c r="L4" s="1" t="s">
        <v>307</v>
      </c>
      <c r="M4" s="1" t="s">
        <v>424</v>
      </c>
      <c r="N4" s="1" t="s">
        <v>424</v>
      </c>
      <c r="O4" s="1" t="s">
        <v>307</v>
      </c>
      <c r="P4" s="1" t="s">
        <v>424</v>
      </c>
      <c r="Q4" s="1" t="s">
        <v>424</v>
      </c>
      <c r="R4" s="1" t="s">
        <v>446</v>
      </c>
      <c r="S4" s="1" t="s">
        <v>424</v>
      </c>
      <c r="T4" s="1" t="s">
        <v>438</v>
      </c>
      <c r="U4" s="1" t="s">
        <v>307</v>
      </c>
      <c r="V4" s="1" t="s">
        <v>307</v>
      </c>
      <c r="W4" s="1" t="s">
        <v>469</v>
      </c>
      <c r="X4" s="1" t="s">
        <v>424</v>
      </c>
      <c r="Y4" s="1" t="s">
        <v>424</v>
      </c>
      <c r="Z4" s="1" t="s">
        <v>424</v>
      </c>
      <c r="AA4" s="1" t="s">
        <v>424</v>
      </c>
    </row>
    <row r="5" spans="1:27" x14ac:dyDescent="0.45">
      <c r="A5" s="1" t="s">
        <v>473</v>
      </c>
      <c r="B5" s="1" t="s">
        <v>337</v>
      </c>
      <c r="C5" s="1" t="s">
        <v>474</v>
      </c>
      <c r="D5" s="1" t="s">
        <v>475</v>
      </c>
      <c r="E5" s="1">
        <v>2025</v>
      </c>
      <c r="F5" s="1" t="s">
        <v>494</v>
      </c>
      <c r="G5" s="1" t="s">
        <v>452</v>
      </c>
      <c r="H5" s="1" t="s">
        <v>424</v>
      </c>
      <c r="I5" s="1" t="s">
        <v>307</v>
      </c>
      <c r="J5" s="1" t="s">
        <v>424</v>
      </c>
      <c r="K5" s="1" t="s">
        <v>307</v>
      </c>
      <c r="L5" s="1" t="s">
        <v>307</v>
      </c>
      <c r="M5" s="1" t="s">
        <v>424</v>
      </c>
      <c r="N5" s="1" t="s">
        <v>424</v>
      </c>
      <c r="O5" s="1" t="s">
        <v>307</v>
      </c>
      <c r="P5" s="1" t="s">
        <v>424</v>
      </c>
      <c r="Q5" s="1" t="s">
        <v>424</v>
      </c>
      <c r="R5" s="1" t="s">
        <v>446</v>
      </c>
      <c r="S5" s="1" t="s">
        <v>424</v>
      </c>
      <c r="T5" s="1" t="s">
        <v>483</v>
      </c>
      <c r="U5" s="1" t="s">
        <v>307</v>
      </c>
      <c r="V5" s="1" t="s">
        <v>307</v>
      </c>
      <c r="W5" s="1" t="s">
        <v>486</v>
      </c>
      <c r="X5" s="1" t="s">
        <v>424</v>
      </c>
      <c r="Y5" s="1" t="s">
        <v>424</v>
      </c>
      <c r="Z5" s="1" t="s">
        <v>485</v>
      </c>
      <c r="AA5" s="1" t="s">
        <v>480</v>
      </c>
    </row>
    <row r="6" spans="1:27" x14ac:dyDescent="0.45">
      <c r="A6" s="1" t="s">
        <v>99</v>
      </c>
      <c r="B6" s="1" t="s">
        <v>9</v>
      </c>
      <c r="C6" s="1" t="s">
        <v>488</v>
      </c>
      <c r="D6" s="1" t="s">
        <v>489</v>
      </c>
      <c r="E6" s="1">
        <v>2025</v>
      </c>
      <c r="F6" s="1" t="s">
        <v>503</v>
      </c>
      <c r="G6" s="1" t="s">
        <v>497</v>
      </c>
      <c r="H6" s="1" t="s">
        <v>307</v>
      </c>
      <c r="I6" s="1" t="s">
        <v>424</v>
      </c>
      <c r="J6" s="1" t="s">
        <v>307</v>
      </c>
      <c r="K6" s="1" t="s">
        <v>424</v>
      </c>
      <c r="L6" s="1" t="s">
        <v>307</v>
      </c>
      <c r="M6" s="1" t="s">
        <v>503</v>
      </c>
      <c r="N6" s="1" t="s">
        <v>503</v>
      </c>
      <c r="O6" s="1" t="s">
        <v>503</v>
      </c>
      <c r="P6" s="1" t="s">
        <v>307</v>
      </c>
      <c r="Q6" s="1" t="s">
        <v>495</v>
      </c>
      <c r="R6" s="1" t="s">
        <v>503</v>
      </c>
      <c r="S6" s="1" t="s">
        <v>307</v>
      </c>
      <c r="T6" s="1" t="s">
        <v>424</v>
      </c>
      <c r="U6" s="1" t="s">
        <v>424</v>
      </c>
      <c r="V6" s="1" t="s">
        <v>307</v>
      </c>
      <c r="W6" s="1" t="s">
        <v>498</v>
      </c>
      <c r="X6" s="1" t="s">
        <v>424</v>
      </c>
      <c r="Y6" s="1" t="s">
        <v>307</v>
      </c>
      <c r="Z6" s="1" t="s">
        <v>424</v>
      </c>
      <c r="AA6" s="1" t="s">
        <v>424</v>
      </c>
    </row>
    <row r="7" spans="1:27" x14ac:dyDescent="0.45">
      <c r="A7" s="1" t="s">
        <v>325</v>
      </c>
      <c r="B7" s="1" t="s">
        <v>163</v>
      </c>
      <c r="C7" s="1" t="s">
        <v>506</v>
      </c>
      <c r="D7" s="1" t="s">
        <v>507</v>
      </c>
      <c r="E7" s="1">
        <v>2025</v>
      </c>
      <c r="F7" s="1" t="s">
        <v>514</v>
      </c>
      <c r="G7" s="1" t="s">
        <v>497</v>
      </c>
      <c r="H7" s="1" t="s">
        <v>307</v>
      </c>
      <c r="I7" s="1" t="s">
        <v>424</v>
      </c>
      <c r="J7" s="1" t="s">
        <v>307</v>
      </c>
      <c r="K7" s="1" t="s">
        <v>424</v>
      </c>
      <c r="L7" s="1" t="s">
        <v>307</v>
      </c>
      <c r="M7" s="1" t="s">
        <v>307</v>
      </c>
      <c r="N7" s="1" t="s">
        <v>424</v>
      </c>
      <c r="O7" s="1" t="s">
        <v>424</v>
      </c>
      <c r="P7" s="1" t="s">
        <v>307</v>
      </c>
      <c r="Q7" s="1" t="s">
        <v>495</v>
      </c>
      <c r="R7" s="1" t="s">
        <v>446</v>
      </c>
      <c r="S7" s="1" t="s">
        <v>307</v>
      </c>
      <c r="T7" s="1" t="s">
        <v>424</v>
      </c>
      <c r="U7" s="1" t="s">
        <v>424</v>
      </c>
      <c r="V7" s="1" t="s">
        <v>307</v>
      </c>
      <c r="W7" s="1" t="s">
        <v>495</v>
      </c>
      <c r="X7" s="1" t="s">
        <v>424</v>
      </c>
      <c r="Y7" s="1" t="s">
        <v>424</v>
      </c>
      <c r="Z7" s="1" t="s">
        <v>424</v>
      </c>
      <c r="AA7" s="1" t="s">
        <v>424</v>
      </c>
    </row>
    <row r="8" spans="1:27" x14ac:dyDescent="0.45">
      <c r="A8" s="1" t="s">
        <v>521</v>
      </c>
      <c r="B8" s="1" t="s">
        <v>331</v>
      </c>
      <c r="C8" s="1" t="s">
        <v>519</v>
      </c>
      <c r="D8" s="1" t="s">
        <v>520</v>
      </c>
      <c r="E8" s="1">
        <v>2026</v>
      </c>
      <c r="F8" s="1" t="s">
        <v>427</v>
      </c>
      <c r="G8" s="1" t="s">
        <v>527</v>
      </c>
      <c r="H8" s="1" t="s">
        <v>307</v>
      </c>
      <c r="I8" s="1" t="s">
        <v>424</v>
      </c>
      <c r="J8" s="1" t="s">
        <v>424</v>
      </c>
      <c r="K8" s="1" t="s">
        <v>307</v>
      </c>
      <c r="L8" s="1" t="s">
        <v>307</v>
      </c>
      <c r="M8" s="1" t="s">
        <v>424</v>
      </c>
      <c r="N8" s="1" t="s">
        <v>424</v>
      </c>
      <c r="O8" s="1" t="s">
        <v>307</v>
      </c>
      <c r="P8" s="1" t="s">
        <v>307</v>
      </c>
      <c r="Q8" s="1" t="s">
        <v>529</v>
      </c>
      <c r="R8" s="1" t="s">
        <v>446</v>
      </c>
      <c r="S8" s="1" t="s">
        <v>424</v>
      </c>
      <c r="T8" s="1" t="s">
        <v>483</v>
      </c>
      <c r="U8" s="1" t="s">
        <v>307</v>
      </c>
      <c r="V8" s="1" t="s">
        <v>307</v>
      </c>
      <c r="W8" s="1" t="s">
        <v>530</v>
      </c>
      <c r="X8" s="1" t="s">
        <v>424</v>
      </c>
      <c r="Y8" s="1" t="s">
        <v>424</v>
      </c>
      <c r="Z8" s="1" t="s">
        <v>424</v>
      </c>
      <c r="AA8" s="1" t="s">
        <v>315</v>
      </c>
    </row>
    <row r="9" spans="1:27" x14ac:dyDescent="0.45">
      <c r="A9" s="1" t="s">
        <v>90</v>
      </c>
      <c r="B9" s="1" t="s">
        <v>14</v>
      </c>
      <c r="C9" s="1" t="s">
        <v>539</v>
      </c>
      <c r="D9" s="1" t="s">
        <v>538</v>
      </c>
      <c r="E9" s="1">
        <v>2025</v>
      </c>
      <c r="F9" s="1" t="s">
        <v>449</v>
      </c>
      <c r="G9" s="1" t="s">
        <v>544</v>
      </c>
      <c r="H9" s="1" t="s">
        <v>307</v>
      </c>
      <c r="I9" s="1" t="s">
        <v>424</v>
      </c>
      <c r="J9" s="1" t="s">
        <v>307</v>
      </c>
      <c r="K9" s="1" t="s">
        <v>424</v>
      </c>
      <c r="L9" s="1" t="s">
        <v>307</v>
      </c>
      <c r="M9" s="1" t="s">
        <v>307</v>
      </c>
      <c r="N9" s="1" t="s">
        <v>424</v>
      </c>
      <c r="O9" s="1" t="s">
        <v>424</v>
      </c>
      <c r="P9" s="1" t="s">
        <v>424</v>
      </c>
      <c r="Q9" s="1" t="s">
        <v>424</v>
      </c>
      <c r="R9" s="1" t="s">
        <v>446</v>
      </c>
      <c r="S9" s="1" t="s">
        <v>424</v>
      </c>
      <c r="T9" s="1" t="s">
        <v>430</v>
      </c>
      <c r="U9" s="1" t="s">
        <v>424</v>
      </c>
      <c r="V9" s="1" t="s">
        <v>424</v>
      </c>
      <c r="W9" s="1" t="s">
        <v>487</v>
      </c>
      <c r="X9" s="1" t="s">
        <v>307</v>
      </c>
      <c r="Y9" s="1" t="s">
        <v>307</v>
      </c>
      <c r="Z9" s="1" t="s">
        <v>424</v>
      </c>
      <c r="AA9" s="1" t="s">
        <v>542</v>
      </c>
    </row>
    <row r="10" spans="1:27" x14ac:dyDescent="0.45">
      <c r="A10" s="1" t="s">
        <v>545</v>
      </c>
      <c r="B10" s="1" t="s">
        <v>336</v>
      </c>
      <c r="C10" s="1" t="s">
        <v>546</v>
      </c>
      <c r="D10" s="1" t="s">
        <v>547</v>
      </c>
      <c r="E10" s="1">
        <v>2025</v>
      </c>
      <c r="F10" s="1" t="s">
        <v>514</v>
      </c>
      <c r="G10" s="1" t="s">
        <v>553</v>
      </c>
      <c r="H10" s="1" t="s">
        <v>307</v>
      </c>
      <c r="I10" s="1" t="s">
        <v>424</v>
      </c>
      <c r="J10" s="1" t="s">
        <v>307</v>
      </c>
      <c r="K10" s="1" t="s">
        <v>424</v>
      </c>
      <c r="L10" s="1" t="s">
        <v>307</v>
      </c>
      <c r="M10" s="1" t="s">
        <v>307</v>
      </c>
      <c r="N10" s="1" t="s">
        <v>424</v>
      </c>
      <c r="O10" s="1" t="s">
        <v>424</v>
      </c>
      <c r="P10" s="1" t="s">
        <v>424</v>
      </c>
      <c r="Q10" s="1" t="s">
        <v>424</v>
      </c>
      <c r="R10" s="1" t="s">
        <v>446</v>
      </c>
      <c r="S10" s="1" t="s">
        <v>307</v>
      </c>
      <c r="T10" s="1" t="s">
        <v>424</v>
      </c>
      <c r="U10" s="1" t="s">
        <v>424</v>
      </c>
      <c r="V10" s="1" t="s">
        <v>424</v>
      </c>
      <c r="W10" s="1" t="s">
        <v>561</v>
      </c>
      <c r="X10" s="1" t="s">
        <v>307</v>
      </c>
      <c r="Y10" s="1" t="s">
        <v>307</v>
      </c>
      <c r="Z10" s="1" t="s">
        <v>424</v>
      </c>
      <c r="AA10" s="1" t="s">
        <v>554</v>
      </c>
    </row>
    <row r="11" spans="1:27" x14ac:dyDescent="0.45">
      <c r="A11" s="1" t="s">
        <v>94</v>
      </c>
      <c r="B11" s="1" t="s">
        <v>17</v>
      </c>
      <c r="C11" s="1" t="s">
        <v>556</v>
      </c>
      <c r="D11" s="1" t="s">
        <v>557</v>
      </c>
      <c r="E11" s="1">
        <v>2023</v>
      </c>
      <c r="F11" s="1" t="s">
        <v>503</v>
      </c>
      <c r="G11" s="1" t="s">
        <v>497</v>
      </c>
      <c r="H11" s="1" t="s">
        <v>307</v>
      </c>
      <c r="I11" s="1" t="s">
        <v>424</v>
      </c>
      <c r="J11" s="1" t="s">
        <v>424</v>
      </c>
      <c r="K11" s="1" t="s">
        <v>307</v>
      </c>
      <c r="L11" s="1" t="s">
        <v>307</v>
      </c>
      <c r="M11" s="1" t="s">
        <v>424</v>
      </c>
      <c r="N11" s="1" t="s">
        <v>307</v>
      </c>
      <c r="O11" s="1" t="s">
        <v>424</v>
      </c>
      <c r="P11" s="1" t="s">
        <v>307</v>
      </c>
      <c r="Q11" s="1" t="s">
        <v>560</v>
      </c>
      <c r="R11" s="1" t="s">
        <v>446</v>
      </c>
      <c r="S11" s="1" t="s">
        <v>424</v>
      </c>
      <c r="T11" s="1" t="s">
        <v>424</v>
      </c>
      <c r="U11" s="1" t="s">
        <v>424</v>
      </c>
      <c r="V11" s="1" t="s">
        <v>424</v>
      </c>
      <c r="W11" s="1" t="s">
        <v>561</v>
      </c>
      <c r="X11" s="1" t="s">
        <v>307</v>
      </c>
      <c r="Y11" s="1" t="s">
        <v>307</v>
      </c>
      <c r="Z11" s="1" t="s">
        <v>424</v>
      </c>
      <c r="AA11" s="1" t="s">
        <v>424</v>
      </c>
    </row>
    <row r="12" spans="1:27" x14ac:dyDescent="0.45">
      <c r="A12" s="1" t="s">
        <v>91</v>
      </c>
      <c r="B12" s="1" t="s">
        <v>61</v>
      </c>
      <c r="C12" s="1" t="s">
        <v>564</v>
      </c>
      <c r="D12" s="1" t="s">
        <v>565</v>
      </c>
      <c r="E12" s="1">
        <v>2025</v>
      </c>
      <c r="F12" s="1" t="s">
        <v>449</v>
      </c>
      <c r="G12" s="1" t="s">
        <v>574</v>
      </c>
      <c r="H12" s="1" t="s">
        <v>424</v>
      </c>
      <c r="I12" s="1" t="s">
        <v>307</v>
      </c>
      <c r="J12" s="1" t="s">
        <v>307</v>
      </c>
      <c r="K12" s="1" t="s">
        <v>424</v>
      </c>
      <c r="L12" s="1" t="s">
        <v>307</v>
      </c>
      <c r="M12" s="1" t="s">
        <v>307</v>
      </c>
      <c r="N12" s="1" t="s">
        <v>424</v>
      </c>
      <c r="O12" s="1" t="s">
        <v>424</v>
      </c>
      <c r="P12" s="1" t="s">
        <v>424</v>
      </c>
      <c r="Q12" s="1" t="s">
        <v>424</v>
      </c>
      <c r="R12" s="1" t="s">
        <v>571</v>
      </c>
      <c r="S12" s="1" t="s">
        <v>424</v>
      </c>
      <c r="T12" s="1" t="s">
        <v>575</v>
      </c>
      <c r="U12" s="1" t="s">
        <v>424</v>
      </c>
      <c r="V12" s="1" t="s">
        <v>424</v>
      </c>
      <c r="W12" s="1" t="s">
        <v>576</v>
      </c>
      <c r="X12" s="1" t="s">
        <v>307</v>
      </c>
      <c r="Y12" s="1" t="s">
        <v>307</v>
      </c>
      <c r="Z12" s="1" t="s">
        <v>424</v>
      </c>
      <c r="AA12" s="1" t="s">
        <v>573</v>
      </c>
    </row>
    <row r="13" spans="1:27" x14ac:dyDescent="0.45">
      <c r="A13" s="1" t="s">
        <v>581</v>
      </c>
      <c r="B13" s="1" t="s">
        <v>335</v>
      </c>
      <c r="C13" s="1" t="s">
        <v>580</v>
      </c>
      <c r="D13" s="1" t="s">
        <v>579</v>
      </c>
      <c r="E13" s="1">
        <v>2025</v>
      </c>
      <c r="F13" s="1" t="s">
        <v>585</v>
      </c>
      <c r="G13" s="1" t="s">
        <v>584</v>
      </c>
      <c r="H13" s="1" t="s">
        <v>307</v>
      </c>
      <c r="I13" s="1" t="s">
        <v>424</v>
      </c>
      <c r="J13" s="1" t="s">
        <v>424</v>
      </c>
      <c r="K13" s="1" t="s">
        <v>307</v>
      </c>
      <c r="L13" s="1" t="s">
        <v>307</v>
      </c>
      <c r="M13" s="1" t="s">
        <v>307</v>
      </c>
      <c r="N13" s="1" t="s">
        <v>424</v>
      </c>
      <c r="O13" s="1" t="s">
        <v>307</v>
      </c>
      <c r="P13" s="1" t="s">
        <v>307</v>
      </c>
      <c r="Q13" s="1" t="s">
        <v>495</v>
      </c>
      <c r="R13" s="1" t="s">
        <v>446</v>
      </c>
      <c r="S13" s="1" t="s">
        <v>424</v>
      </c>
      <c r="T13" s="1" t="s">
        <v>438</v>
      </c>
      <c r="U13" s="1" t="s">
        <v>307</v>
      </c>
      <c r="V13" s="1" t="s">
        <v>307</v>
      </c>
      <c r="W13" s="1" t="s">
        <v>576</v>
      </c>
      <c r="X13" s="1" t="s">
        <v>424</v>
      </c>
      <c r="Y13" s="1" t="s">
        <v>424</v>
      </c>
      <c r="Z13" s="1" t="s">
        <v>424</v>
      </c>
      <c r="AA13" s="1" t="s">
        <v>586</v>
      </c>
    </row>
    <row r="14" spans="1:27" x14ac:dyDescent="0.45">
      <c r="A14" s="1" t="s">
        <v>588</v>
      </c>
      <c r="B14" s="1" t="s">
        <v>46</v>
      </c>
      <c r="C14" s="1" t="s">
        <v>589</v>
      </c>
      <c r="D14" s="1" t="s">
        <v>489</v>
      </c>
      <c r="E14" s="1">
        <v>2025</v>
      </c>
      <c r="F14" s="1" t="s">
        <v>514</v>
      </c>
      <c r="G14" s="1" t="s">
        <v>497</v>
      </c>
      <c r="H14" s="1" t="s">
        <v>424</v>
      </c>
      <c r="I14" s="1" t="s">
        <v>307</v>
      </c>
      <c r="J14" s="1" t="s">
        <v>307</v>
      </c>
      <c r="K14" s="1" t="s">
        <v>424</v>
      </c>
      <c r="L14" s="1" t="s">
        <v>307</v>
      </c>
      <c r="M14" s="1" t="s">
        <v>307</v>
      </c>
      <c r="N14" s="1" t="s">
        <v>424</v>
      </c>
      <c r="O14" s="1" t="s">
        <v>424</v>
      </c>
      <c r="P14" s="1" t="s">
        <v>307</v>
      </c>
      <c r="Q14" s="1" t="s">
        <v>495</v>
      </c>
      <c r="R14" s="1" t="s">
        <v>446</v>
      </c>
      <c r="S14" s="1" t="s">
        <v>307</v>
      </c>
      <c r="T14" s="1" t="s">
        <v>424</v>
      </c>
      <c r="U14" s="1" t="s">
        <v>424</v>
      </c>
      <c r="V14" s="1" t="s">
        <v>424</v>
      </c>
      <c r="W14" s="1" t="s">
        <v>594</v>
      </c>
      <c r="X14" s="1" t="s">
        <v>307</v>
      </c>
      <c r="Y14" s="1" t="s">
        <v>307</v>
      </c>
      <c r="Z14" s="1" t="s">
        <v>424</v>
      </c>
      <c r="AA14" s="1" t="s">
        <v>593</v>
      </c>
    </row>
    <row r="15" spans="1:27" x14ac:dyDescent="0.45">
      <c r="A15" s="1" t="s">
        <v>599</v>
      </c>
      <c r="B15" s="1" t="s">
        <v>339</v>
      </c>
      <c r="C15" s="1" t="s">
        <v>600</v>
      </c>
      <c r="D15" s="1" t="s">
        <v>601</v>
      </c>
      <c r="E15" s="1">
        <v>2026</v>
      </c>
      <c r="F15" s="1" t="s">
        <v>606</v>
      </c>
      <c r="G15" s="1" t="s">
        <v>607</v>
      </c>
      <c r="H15" s="1" t="s">
        <v>307</v>
      </c>
      <c r="I15" s="1" t="s">
        <v>424</v>
      </c>
      <c r="J15" s="1" t="s">
        <v>307</v>
      </c>
      <c r="K15" s="1" t="s">
        <v>424</v>
      </c>
      <c r="L15" s="1" t="s">
        <v>307</v>
      </c>
      <c r="M15" s="1" t="s">
        <v>424</v>
      </c>
      <c r="N15" s="1" t="s">
        <v>307</v>
      </c>
      <c r="O15" s="1" t="s">
        <v>424</v>
      </c>
      <c r="P15" s="1" t="s">
        <v>307</v>
      </c>
      <c r="Q15" s="1" t="s">
        <v>608</v>
      </c>
      <c r="R15" s="1" t="s">
        <v>446</v>
      </c>
      <c r="S15" s="1" t="s">
        <v>424</v>
      </c>
      <c r="T15" s="1" t="s">
        <v>483</v>
      </c>
      <c r="U15" s="1" t="s">
        <v>307</v>
      </c>
      <c r="V15" s="1" t="s">
        <v>307</v>
      </c>
      <c r="W15" s="1" t="s">
        <v>609</v>
      </c>
      <c r="X15" s="1" t="s">
        <v>424</v>
      </c>
      <c r="Y15" s="1" t="s">
        <v>307</v>
      </c>
      <c r="Z15" s="1" t="s">
        <v>424</v>
      </c>
      <c r="AA15" s="1" t="s">
        <v>315</v>
      </c>
    </row>
    <row r="16" spans="1:27" x14ac:dyDescent="0.45">
      <c r="A16" s="1" t="s">
        <v>98</v>
      </c>
      <c r="B16" s="1" t="s">
        <v>18</v>
      </c>
      <c r="C16" s="1" t="s">
        <v>612</v>
      </c>
      <c r="D16" s="1" t="s">
        <v>613</v>
      </c>
      <c r="E16" s="1">
        <v>2022</v>
      </c>
      <c r="F16" s="1" t="s">
        <v>514</v>
      </c>
      <c r="G16" s="1" t="s">
        <v>497</v>
      </c>
      <c r="H16" s="1" t="s">
        <v>307</v>
      </c>
      <c r="I16" s="1" t="s">
        <v>424</v>
      </c>
      <c r="J16" s="1" t="s">
        <v>307</v>
      </c>
      <c r="K16" s="1" t="s">
        <v>424</v>
      </c>
      <c r="L16" s="1" t="s">
        <v>307</v>
      </c>
      <c r="M16" s="1" t="s">
        <v>307</v>
      </c>
      <c r="N16" s="1" t="s">
        <v>424</v>
      </c>
      <c r="O16" s="1" t="s">
        <v>424</v>
      </c>
      <c r="P16" s="1" t="s">
        <v>307</v>
      </c>
      <c r="Q16" s="1" t="s">
        <v>495</v>
      </c>
      <c r="R16" s="1" t="s">
        <v>503</v>
      </c>
      <c r="S16" s="1" t="s">
        <v>307</v>
      </c>
      <c r="T16" s="1" t="s">
        <v>424</v>
      </c>
      <c r="U16" s="1" t="s">
        <v>307</v>
      </c>
      <c r="V16" s="1" t="s">
        <v>307</v>
      </c>
      <c r="W16" s="1" t="s">
        <v>620</v>
      </c>
      <c r="X16" s="1" t="s">
        <v>424</v>
      </c>
      <c r="Y16" s="1" t="s">
        <v>424</v>
      </c>
      <c r="Z16" s="1" t="s">
        <v>619</v>
      </c>
      <c r="AA16" s="1" t="s">
        <v>618</v>
      </c>
    </row>
    <row r="17" spans="1:27" x14ac:dyDescent="0.45">
      <c r="A17" s="1" t="s">
        <v>100</v>
      </c>
      <c r="B17" s="1" t="s">
        <v>10</v>
      </c>
      <c r="C17" s="1" t="s">
        <v>621</v>
      </c>
      <c r="D17" s="1" t="s">
        <v>622</v>
      </c>
      <c r="E17" s="1">
        <v>2022</v>
      </c>
      <c r="F17" s="1" t="s">
        <v>629</v>
      </c>
      <c r="G17" s="1" t="s">
        <v>630</v>
      </c>
      <c r="H17" s="1" t="s">
        <v>307</v>
      </c>
      <c r="I17" s="1" t="s">
        <v>424</v>
      </c>
      <c r="J17" s="1" t="s">
        <v>307</v>
      </c>
      <c r="K17" s="1" t="s">
        <v>424</v>
      </c>
      <c r="L17" s="1" t="s">
        <v>307</v>
      </c>
      <c r="M17" s="1" t="s">
        <v>424</v>
      </c>
      <c r="N17" s="1" t="s">
        <v>424</v>
      </c>
      <c r="O17" s="1" t="s">
        <v>307</v>
      </c>
      <c r="P17" s="1" t="s">
        <v>424</v>
      </c>
      <c r="Q17" s="1" t="s">
        <v>424</v>
      </c>
      <c r="R17" s="1" t="s">
        <v>446</v>
      </c>
      <c r="S17" s="1" t="s">
        <v>424</v>
      </c>
      <c r="T17" s="1" t="s">
        <v>438</v>
      </c>
      <c r="U17" s="1" t="s">
        <v>307</v>
      </c>
      <c r="V17" s="1" t="s">
        <v>307</v>
      </c>
      <c r="W17" s="1" t="s">
        <v>449</v>
      </c>
      <c r="X17" s="1" t="s">
        <v>424</v>
      </c>
      <c r="Y17" s="1" t="s">
        <v>424</v>
      </c>
      <c r="Z17" s="1" t="s">
        <v>424</v>
      </c>
      <c r="AA17" s="1" t="s">
        <v>424</v>
      </c>
    </row>
    <row r="18" spans="1:27" x14ac:dyDescent="0.45">
      <c r="A18" s="1" t="s">
        <v>319</v>
      </c>
      <c r="B18" s="1" t="s">
        <v>13</v>
      </c>
      <c r="C18" s="1" t="s">
        <v>631</v>
      </c>
      <c r="D18" s="1" t="s">
        <v>632</v>
      </c>
      <c r="E18" s="1">
        <v>2025</v>
      </c>
      <c r="F18" s="1" t="s">
        <v>449</v>
      </c>
      <c r="G18" s="1" t="s">
        <v>637</v>
      </c>
      <c r="H18" s="1" t="s">
        <v>307</v>
      </c>
      <c r="I18" s="1" t="s">
        <v>424</v>
      </c>
      <c r="J18" s="1" t="s">
        <v>424</v>
      </c>
      <c r="K18" s="1" t="s">
        <v>307</v>
      </c>
      <c r="L18" s="1" t="s">
        <v>307</v>
      </c>
      <c r="M18" s="1" t="s">
        <v>307</v>
      </c>
      <c r="N18" s="1" t="s">
        <v>424</v>
      </c>
      <c r="O18" s="1" t="s">
        <v>424</v>
      </c>
      <c r="P18" s="1" t="s">
        <v>424</v>
      </c>
      <c r="Q18" s="1" t="s">
        <v>424</v>
      </c>
      <c r="R18" s="1" t="s">
        <v>446</v>
      </c>
      <c r="S18" s="1" t="s">
        <v>424</v>
      </c>
      <c r="T18" s="1" t="s">
        <v>438</v>
      </c>
      <c r="U18" s="1" t="s">
        <v>424</v>
      </c>
      <c r="V18" s="1" t="s">
        <v>424</v>
      </c>
      <c r="W18" s="1" t="s">
        <v>638</v>
      </c>
      <c r="X18" s="1" t="s">
        <v>307</v>
      </c>
      <c r="Y18" s="1" t="s">
        <v>307</v>
      </c>
      <c r="Z18" s="1" t="s">
        <v>424</v>
      </c>
      <c r="AA18" s="1" t="s">
        <v>424</v>
      </c>
    </row>
    <row r="19" spans="1:27" x14ac:dyDescent="0.45">
      <c r="A19" s="1" t="s">
        <v>106</v>
      </c>
      <c r="B19" s="1" t="s">
        <v>20</v>
      </c>
      <c r="C19" s="1" t="s">
        <v>641</v>
      </c>
      <c r="D19" s="1" t="s">
        <v>642</v>
      </c>
      <c r="E19" s="1">
        <v>2024</v>
      </c>
      <c r="F19" s="1" t="s">
        <v>494</v>
      </c>
      <c r="G19" s="1" t="s">
        <v>647</v>
      </c>
      <c r="H19" s="1" t="s">
        <v>307</v>
      </c>
      <c r="I19" s="1" t="s">
        <v>424</v>
      </c>
      <c r="J19" s="1" t="s">
        <v>307</v>
      </c>
      <c r="K19" s="1" t="s">
        <v>424</v>
      </c>
      <c r="L19" s="1" t="s">
        <v>307</v>
      </c>
      <c r="M19" s="1" t="s">
        <v>424</v>
      </c>
      <c r="N19" s="1" t="s">
        <v>424</v>
      </c>
      <c r="O19" s="1" t="s">
        <v>307</v>
      </c>
      <c r="P19" s="1" t="s">
        <v>307</v>
      </c>
      <c r="Q19" s="1" t="s">
        <v>487</v>
      </c>
      <c r="R19" s="1" t="s">
        <v>446</v>
      </c>
      <c r="S19" s="1" t="s">
        <v>424</v>
      </c>
      <c r="T19" s="1" t="s">
        <v>483</v>
      </c>
      <c r="U19" s="1" t="s">
        <v>307</v>
      </c>
      <c r="V19" s="1" t="s">
        <v>307</v>
      </c>
      <c r="W19" s="1" t="s">
        <v>648</v>
      </c>
      <c r="X19" s="1" t="s">
        <v>424</v>
      </c>
      <c r="Y19" s="1" t="s">
        <v>424</v>
      </c>
      <c r="Z19" s="1" t="s">
        <v>424</v>
      </c>
      <c r="AA19" s="1" t="s">
        <v>315</v>
      </c>
    </row>
    <row r="20" spans="1:27" x14ac:dyDescent="0.45">
      <c r="A20" s="1" t="s">
        <v>649</v>
      </c>
      <c r="B20" s="1" t="s">
        <v>329</v>
      </c>
      <c r="C20" s="1" t="s">
        <v>650</v>
      </c>
      <c r="D20" s="1" t="s">
        <v>651</v>
      </c>
      <c r="E20" s="1">
        <v>2025</v>
      </c>
      <c r="F20" s="1" t="s">
        <v>514</v>
      </c>
      <c r="G20" s="1" t="s">
        <v>666</v>
      </c>
      <c r="H20" s="1" t="s">
        <v>307</v>
      </c>
      <c r="I20" s="1" t="s">
        <v>424</v>
      </c>
      <c r="J20" s="1" t="s">
        <v>424</v>
      </c>
      <c r="K20" s="1" t="s">
        <v>307</v>
      </c>
      <c r="L20" s="1" t="s">
        <v>307</v>
      </c>
      <c r="M20" s="1" t="s">
        <v>307</v>
      </c>
      <c r="N20" s="1" t="s">
        <v>424</v>
      </c>
      <c r="O20" s="1" t="s">
        <v>424</v>
      </c>
      <c r="P20" s="1" t="s">
        <v>424</v>
      </c>
      <c r="Q20" s="1" t="s">
        <v>424</v>
      </c>
      <c r="R20" s="1" t="s">
        <v>446</v>
      </c>
      <c r="S20" s="1" t="s">
        <v>307</v>
      </c>
      <c r="T20" s="1" t="s">
        <v>424</v>
      </c>
      <c r="U20" s="1" t="s">
        <v>307</v>
      </c>
      <c r="V20" s="1" t="s">
        <v>307</v>
      </c>
      <c r="W20" s="1" t="s">
        <v>657</v>
      </c>
      <c r="X20" s="1" t="s">
        <v>424</v>
      </c>
      <c r="Y20" s="1" t="s">
        <v>424</v>
      </c>
      <c r="Z20" s="1" t="s">
        <v>424</v>
      </c>
      <c r="AA20" s="1" t="s">
        <v>656</v>
      </c>
    </row>
    <row r="21" spans="1:27" x14ac:dyDescent="0.45">
      <c r="A21" s="1" t="s">
        <v>658</v>
      </c>
      <c r="B21" s="1" t="s">
        <v>330</v>
      </c>
      <c r="C21" s="1" t="s">
        <v>660</v>
      </c>
      <c r="D21" s="1" t="s">
        <v>661</v>
      </c>
      <c r="E21" s="1">
        <v>2025</v>
      </c>
      <c r="F21" s="1" t="s">
        <v>449</v>
      </c>
      <c r="G21" s="1" t="s">
        <v>667</v>
      </c>
      <c r="H21" s="1" t="s">
        <v>307</v>
      </c>
      <c r="I21" s="1" t="s">
        <v>424</v>
      </c>
      <c r="J21" s="1" t="s">
        <v>307</v>
      </c>
      <c r="K21" s="1" t="s">
        <v>424</v>
      </c>
      <c r="L21" s="1" t="s">
        <v>307</v>
      </c>
      <c r="M21" s="1" t="s">
        <v>307</v>
      </c>
      <c r="N21" s="1" t="s">
        <v>424</v>
      </c>
      <c r="O21" s="1" t="s">
        <v>424</v>
      </c>
      <c r="P21" s="1" t="s">
        <v>307</v>
      </c>
      <c r="Q21" s="1" t="s">
        <v>495</v>
      </c>
      <c r="R21" s="1" t="s">
        <v>446</v>
      </c>
      <c r="S21" s="1" t="s">
        <v>424</v>
      </c>
      <c r="T21" s="1" t="s">
        <v>438</v>
      </c>
      <c r="U21" s="1" t="s">
        <v>307</v>
      </c>
      <c r="V21" s="1" t="s">
        <v>307</v>
      </c>
      <c r="W21" s="1" t="s">
        <v>487</v>
      </c>
      <c r="X21" s="1" t="s">
        <v>424</v>
      </c>
      <c r="Y21" s="1" t="s">
        <v>424</v>
      </c>
      <c r="Z21" s="1" t="s">
        <v>424</v>
      </c>
      <c r="AA21" s="1" t="s">
        <v>424</v>
      </c>
    </row>
    <row r="22" spans="1:27" x14ac:dyDescent="0.45">
      <c r="A22" s="1" t="s">
        <v>668</v>
      </c>
      <c r="B22" s="1" t="s">
        <v>288</v>
      </c>
      <c r="C22" s="1" t="s">
        <v>669</v>
      </c>
      <c r="D22" s="1" t="s">
        <v>670</v>
      </c>
      <c r="E22" s="1">
        <v>2025</v>
      </c>
      <c r="F22" s="1" t="s">
        <v>514</v>
      </c>
      <c r="G22" s="1" t="s">
        <v>678</v>
      </c>
      <c r="H22" s="1" t="s">
        <v>307</v>
      </c>
      <c r="I22" s="1" t="s">
        <v>424</v>
      </c>
      <c r="J22" s="1" t="s">
        <v>424</v>
      </c>
      <c r="K22" s="1" t="s">
        <v>307</v>
      </c>
      <c r="L22" s="1" t="s">
        <v>307</v>
      </c>
      <c r="M22" s="1" t="s">
        <v>307</v>
      </c>
      <c r="N22" s="1" t="s">
        <v>424</v>
      </c>
      <c r="O22" s="1" t="s">
        <v>424</v>
      </c>
      <c r="P22" s="1" t="s">
        <v>307</v>
      </c>
      <c r="Q22" s="1" t="s">
        <v>495</v>
      </c>
      <c r="R22" s="1" t="s">
        <v>446</v>
      </c>
      <c r="S22" s="1" t="s">
        <v>307</v>
      </c>
      <c r="T22" s="1" t="s">
        <v>424</v>
      </c>
      <c r="U22" s="1" t="s">
        <v>307</v>
      </c>
      <c r="V22" s="1" t="s">
        <v>307</v>
      </c>
      <c r="W22" s="1" t="s">
        <v>679</v>
      </c>
      <c r="X22" s="1" t="s">
        <v>424</v>
      </c>
      <c r="Y22" s="1" t="s">
        <v>307</v>
      </c>
      <c r="Z22" s="1" t="s">
        <v>424</v>
      </c>
      <c r="AA22" s="1" t="s">
        <v>677</v>
      </c>
    </row>
    <row r="23" spans="1:27" x14ac:dyDescent="0.45">
      <c r="A23" s="1" t="s">
        <v>93</v>
      </c>
      <c r="B23" s="1" t="s">
        <v>40</v>
      </c>
      <c r="C23" s="1" t="s">
        <v>681</v>
      </c>
      <c r="D23" s="1" t="s">
        <v>680</v>
      </c>
      <c r="E23" s="1">
        <v>2025</v>
      </c>
      <c r="F23" s="1" t="s">
        <v>514</v>
      </c>
      <c r="G23" s="1" t="s">
        <v>687</v>
      </c>
      <c r="H23" s="1" t="s">
        <v>424</v>
      </c>
      <c r="I23" s="1" t="s">
        <v>307</v>
      </c>
      <c r="J23" s="1" t="s">
        <v>424</v>
      </c>
      <c r="K23" s="1" t="s">
        <v>307</v>
      </c>
      <c r="L23" s="1" t="s">
        <v>307</v>
      </c>
      <c r="M23" s="1" t="s">
        <v>307</v>
      </c>
      <c r="N23" s="1" t="s">
        <v>424</v>
      </c>
      <c r="O23" s="1" t="s">
        <v>424</v>
      </c>
      <c r="P23" s="1" t="s">
        <v>424</v>
      </c>
      <c r="Q23" s="1" t="s">
        <v>424</v>
      </c>
      <c r="R23" s="1" t="s">
        <v>446</v>
      </c>
      <c r="S23" s="1" t="s">
        <v>307</v>
      </c>
      <c r="T23" s="1" t="s">
        <v>424</v>
      </c>
      <c r="U23" s="1" t="s">
        <v>424</v>
      </c>
      <c r="V23" s="1" t="s">
        <v>424</v>
      </c>
      <c r="W23" s="1" t="s">
        <v>688</v>
      </c>
      <c r="X23" s="1" t="s">
        <v>307</v>
      </c>
      <c r="Y23" s="1" t="s">
        <v>307</v>
      </c>
      <c r="Z23" s="1" t="s">
        <v>424</v>
      </c>
      <c r="AA23" s="1" t="s">
        <v>424</v>
      </c>
    </row>
    <row r="24" spans="1:27" x14ac:dyDescent="0.45">
      <c r="A24" s="1" t="s">
        <v>690</v>
      </c>
      <c r="B24" s="1" t="s">
        <v>161</v>
      </c>
      <c r="C24" s="1" t="s">
        <v>692</v>
      </c>
      <c r="D24" s="1" t="s">
        <v>693</v>
      </c>
      <c r="E24" s="1">
        <v>2025</v>
      </c>
      <c r="F24" s="1" t="s">
        <v>697</v>
      </c>
      <c r="G24" s="1" t="s">
        <v>698</v>
      </c>
      <c r="H24" s="1" t="s">
        <v>307</v>
      </c>
      <c r="I24" s="1" t="s">
        <v>424</v>
      </c>
      <c r="J24" s="1" t="s">
        <v>424</v>
      </c>
      <c r="K24" s="1" t="s">
        <v>307</v>
      </c>
      <c r="L24" s="1" t="s">
        <v>307</v>
      </c>
      <c r="M24" s="1" t="s">
        <v>307</v>
      </c>
      <c r="N24" s="1" t="s">
        <v>424</v>
      </c>
      <c r="O24" s="1" t="s">
        <v>424</v>
      </c>
      <c r="P24" s="1" t="s">
        <v>307</v>
      </c>
      <c r="Q24" s="1" t="s">
        <v>701</v>
      </c>
      <c r="R24" s="1" t="s">
        <v>446</v>
      </c>
      <c r="S24" s="1" t="s">
        <v>424</v>
      </c>
      <c r="T24" s="1" t="s">
        <v>699</v>
      </c>
      <c r="U24" s="1" t="s">
        <v>307</v>
      </c>
      <c r="V24" s="1" t="s">
        <v>307</v>
      </c>
      <c r="W24" s="1" t="s">
        <v>700</v>
      </c>
      <c r="X24" s="1" t="s">
        <v>424</v>
      </c>
      <c r="Y24" s="1" t="s">
        <v>424</v>
      </c>
      <c r="Z24" s="1" t="s">
        <v>424</v>
      </c>
      <c r="AA24" s="1" t="s">
        <v>702</v>
      </c>
    </row>
    <row r="25" spans="1:27" x14ac:dyDescent="0.45">
      <c r="A25" s="1" t="s">
        <v>103</v>
      </c>
      <c r="B25" s="1" t="s">
        <v>42</v>
      </c>
      <c r="C25" s="1" t="s">
        <v>703</v>
      </c>
      <c r="D25" s="1" t="s">
        <v>704</v>
      </c>
      <c r="E25" s="1">
        <v>2025</v>
      </c>
      <c r="F25" s="1" t="s">
        <v>427</v>
      </c>
      <c r="G25" s="1" t="s">
        <v>647</v>
      </c>
      <c r="H25" s="1" t="s">
        <v>307</v>
      </c>
      <c r="I25" s="1" t="s">
        <v>424</v>
      </c>
      <c r="J25" s="1" t="s">
        <v>307</v>
      </c>
      <c r="K25" s="1" t="s">
        <v>424</v>
      </c>
      <c r="L25" s="1" t="s">
        <v>307</v>
      </c>
      <c r="M25" s="1" t="s">
        <v>424</v>
      </c>
      <c r="N25" s="1" t="s">
        <v>424</v>
      </c>
      <c r="O25" s="1" t="s">
        <v>307</v>
      </c>
      <c r="P25" s="1" t="s">
        <v>424</v>
      </c>
      <c r="Q25" s="1" t="s">
        <v>424</v>
      </c>
      <c r="R25" s="1" t="s">
        <v>446</v>
      </c>
      <c r="S25" s="1" t="s">
        <v>424</v>
      </c>
      <c r="T25" s="1" t="s">
        <v>503</v>
      </c>
      <c r="U25" s="1" t="s">
        <v>307</v>
      </c>
      <c r="V25" s="1" t="s">
        <v>307</v>
      </c>
      <c r="W25" s="1" t="s">
        <v>487</v>
      </c>
      <c r="X25" s="1" t="s">
        <v>424</v>
      </c>
      <c r="Y25" s="1" t="s">
        <v>424</v>
      </c>
      <c r="Z25" s="1" t="s">
        <v>424</v>
      </c>
      <c r="AA25" s="1" t="s">
        <v>424</v>
      </c>
    </row>
    <row r="26" spans="1:27" x14ac:dyDescent="0.45">
      <c r="A26" s="1" t="s">
        <v>708</v>
      </c>
      <c r="B26" s="1" t="s">
        <v>340</v>
      </c>
      <c r="C26" s="1" t="s">
        <v>711</v>
      </c>
      <c r="D26" s="1" t="s">
        <v>712</v>
      </c>
      <c r="E26" s="1">
        <v>2026</v>
      </c>
      <c r="F26" s="1" t="s">
        <v>427</v>
      </c>
      <c r="G26" s="1" t="s">
        <v>721</v>
      </c>
      <c r="H26" s="1" t="s">
        <v>307</v>
      </c>
      <c r="I26" s="1" t="s">
        <v>424</v>
      </c>
      <c r="J26" s="1" t="s">
        <v>424</v>
      </c>
      <c r="K26" s="1" t="s">
        <v>307</v>
      </c>
      <c r="L26" s="1" t="s">
        <v>307</v>
      </c>
      <c r="M26" s="1" t="s">
        <v>424</v>
      </c>
      <c r="N26" s="1" t="s">
        <v>424</v>
      </c>
      <c r="O26" s="1" t="s">
        <v>307</v>
      </c>
      <c r="P26" s="1" t="s">
        <v>307</v>
      </c>
      <c r="Q26" s="1" t="s">
        <v>722</v>
      </c>
      <c r="R26" s="1" t="s">
        <v>446</v>
      </c>
      <c r="S26" s="1" t="s">
        <v>424</v>
      </c>
      <c r="T26" s="1" t="s">
        <v>438</v>
      </c>
      <c r="U26" s="1" t="s">
        <v>307</v>
      </c>
      <c r="V26" s="1" t="s">
        <v>307</v>
      </c>
      <c r="W26" s="1" t="s">
        <v>723</v>
      </c>
      <c r="X26" s="1" t="s">
        <v>424</v>
      </c>
      <c r="Y26" s="1" t="s">
        <v>424</v>
      </c>
      <c r="Z26" s="1" t="s">
        <v>424</v>
      </c>
      <c r="AA26" s="1" t="s">
        <v>424</v>
      </c>
    </row>
    <row r="27" spans="1:27" x14ac:dyDescent="0.45">
      <c r="A27" s="1" t="s">
        <v>724</v>
      </c>
      <c r="B27" s="1" t="s">
        <v>343</v>
      </c>
      <c r="C27" s="1" t="s">
        <v>725</v>
      </c>
      <c r="D27" s="1" t="s">
        <v>726</v>
      </c>
      <c r="E27" s="1">
        <v>2025</v>
      </c>
      <c r="F27" s="1" t="s">
        <v>514</v>
      </c>
      <c r="G27" s="1" t="s">
        <v>733</v>
      </c>
      <c r="H27" s="1" t="s">
        <v>424</v>
      </c>
      <c r="I27" s="1" t="s">
        <v>307</v>
      </c>
      <c r="J27" s="1" t="s">
        <v>424</v>
      </c>
      <c r="K27" s="1" t="s">
        <v>307</v>
      </c>
      <c r="L27" s="1" t="s">
        <v>307</v>
      </c>
      <c r="M27" s="1" t="s">
        <v>307</v>
      </c>
      <c r="N27" s="1" t="s">
        <v>424</v>
      </c>
      <c r="O27" s="1" t="s">
        <v>424</v>
      </c>
      <c r="P27" s="1" t="s">
        <v>424</v>
      </c>
      <c r="Q27" s="1" t="s">
        <v>424</v>
      </c>
      <c r="R27" s="1" t="s">
        <v>446</v>
      </c>
      <c r="S27" s="1" t="s">
        <v>307</v>
      </c>
      <c r="T27" s="1" t="s">
        <v>424</v>
      </c>
      <c r="U27" s="1" t="s">
        <v>307</v>
      </c>
      <c r="V27" s="1" t="s">
        <v>307</v>
      </c>
      <c r="W27" s="1" t="s">
        <v>734</v>
      </c>
      <c r="X27" s="1" t="s">
        <v>424</v>
      </c>
      <c r="Y27" s="1" t="s">
        <v>424</v>
      </c>
      <c r="Z27" s="1" t="s">
        <v>424</v>
      </c>
      <c r="AA27" s="1" t="s">
        <v>735</v>
      </c>
    </row>
    <row r="28" spans="1:27" x14ac:dyDescent="0.45">
      <c r="A28" s="1" t="s">
        <v>92</v>
      </c>
      <c r="B28" s="1" t="s">
        <v>41</v>
      </c>
      <c r="C28" s="1" t="s">
        <v>737</v>
      </c>
      <c r="D28" s="1" t="s">
        <v>738</v>
      </c>
      <c r="E28" s="1">
        <v>2022</v>
      </c>
      <c r="F28" s="1" t="s">
        <v>514</v>
      </c>
      <c r="G28" s="1" t="s">
        <v>743</v>
      </c>
      <c r="H28" s="1" t="s">
        <v>307</v>
      </c>
      <c r="I28" s="1" t="s">
        <v>424</v>
      </c>
      <c r="J28" s="1" t="s">
        <v>307</v>
      </c>
      <c r="K28" s="1" t="s">
        <v>424</v>
      </c>
      <c r="L28" s="1" t="s">
        <v>307</v>
      </c>
      <c r="M28" s="1" t="s">
        <v>307</v>
      </c>
      <c r="N28" s="1" t="s">
        <v>424</v>
      </c>
      <c r="O28" s="1" t="s">
        <v>424</v>
      </c>
      <c r="P28" s="1" t="s">
        <v>424</v>
      </c>
      <c r="Q28" s="1" t="s">
        <v>424</v>
      </c>
      <c r="R28" s="1" t="s">
        <v>503</v>
      </c>
      <c r="S28" s="1" t="s">
        <v>307</v>
      </c>
      <c r="T28" s="1" t="s">
        <v>424</v>
      </c>
      <c r="U28" s="1" t="s">
        <v>424</v>
      </c>
      <c r="V28" s="1" t="s">
        <v>424</v>
      </c>
      <c r="W28" s="1" t="s">
        <v>688</v>
      </c>
      <c r="X28" s="1" t="s">
        <v>307</v>
      </c>
      <c r="Y28" s="1" t="s">
        <v>307</v>
      </c>
      <c r="Z28" s="1" t="s">
        <v>424</v>
      </c>
      <c r="AA28" s="1" t="s">
        <v>424</v>
      </c>
    </row>
    <row r="29" spans="1:27" x14ac:dyDescent="0.45">
      <c r="A29" s="1" t="s">
        <v>105</v>
      </c>
      <c r="B29" s="1" t="s">
        <v>16</v>
      </c>
      <c r="C29" s="1" t="s">
        <v>745</v>
      </c>
      <c r="D29" s="1" t="s">
        <v>746</v>
      </c>
      <c r="E29" s="1">
        <v>2024</v>
      </c>
      <c r="F29" s="1" t="s">
        <v>503</v>
      </c>
      <c r="G29" s="1" t="s">
        <v>751</v>
      </c>
      <c r="H29" s="1" t="s">
        <v>307</v>
      </c>
      <c r="I29" s="1" t="s">
        <v>424</v>
      </c>
      <c r="J29" s="1" t="s">
        <v>307</v>
      </c>
      <c r="K29" s="1" t="s">
        <v>424</v>
      </c>
      <c r="L29" s="1" t="s">
        <v>307</v>
      </c>
      <c r="M29" s="1" t="s">
        <v>424</v>
      </c>
      <c r="N29" s="1" t="s">
        <v>307</v>
      </c>
      <c r="O29" s="1" t="s">
        <v>424</v>
      </c>
      <c r="P29" s="1" t="s">
        <v>424</v>
      </c>
      <c r="Q29" s="1" t="s">
        <v>424</v>
      </c>
      <c r="R29" s="1" t="s">
        <v>446</v>
      </c>
      <c r="S29" s="1" t="s">
        <v>424</v>
      </c>
      <c r="T29" s="1" t="s">
        <v>752</v>
      </c>
      <c r="U29" s="1" t="s">
        <v>307</v>
      </c>
      <c r="V29" s="1" t="s">
        <v>307</v>
      </c>
      <c r="W29" s="1" t="s">
        <v>753</v>
      </c>
      <c r="X29" s="1" t="s">
        <v>424</v>
      </c>
      <c r="Y29" s="1" t="s">
        <v>424</v>
      </c>
      <c r="Z29" s="1" t="s">
        <v>424</v>
      </c>
      <c r="AA29" s="1" t="s">
        <v>315</v>
      </c>
    </row>
    <row r="30" spans="1:27" x14ac:dyDescent="0.45">
      <c r="A30" s="1" t="s">
        <v>320</v>
      </c>
      <c r="B30" s="1" t="s">
        <v>299</v>
      </c>
      <c r="C30" s="1" t="s">
        <v>755</v>
      </c>
      <c r="D30" s="1" t="s">
        <v>670</v>
      </c>
      <c r="E30" s="1">
        <v>2024</v>
      </c>
      <c r="F30" s="1" t="s">
        <v>449</v>
      </c>
      <c r="G30" s="1" t="s">
        <v>497</v>
      </c>
      <c r="H30" s="1" t="s">
        <v>307</v>
      </c>
      <c r="I30" s="1" t="s">
        <v>424</v>
      </c>
      <c r="J30" s="1" t="s">
        <v>424</v>
      </c>
      <c r="K30" s="1" t="s">
        <v>307</v>
      </c>
      <c r="L30" s="1" t="s">
        <v>307</v>
      </c>
      <c r="M30" s="1" t="s">
        <v>307</v>
      </c>
      <c r="N30" s="1" t="s">
        <v>424</v>
      </c>
      <c r="O30" s="1" t="s">
        <v>424</v>
      </c>
      <c r="P30" s="1" t="s">
        <v>307</v>
      </c>
      <c r="Q30" s="1" t="s">
        <v>495</v>
      </c>
      <c r="R30" s="1" t="s">
        <v>503</v>
      </c>
      <c r="S30" s="1" t="s">
        <v>424</v>
      </c>
      <c r="T30" s="1" t="s">
        <v>438</v>
      </c>
      <c r="U30" s="1" t="s">
        <v>307</v>
      </c>
      <c r="V30" s="1" t="s">
        <v>307</v>
      </c>
      <c r="W30" s="1" t="s">
        <v>495</v>
      </c>
      <c r="X30" s="1" t="s">
        <v>424</v>
      </c>
      <c r="Y30" s="1" t="s">
        <v>424</v>
      </c>
      <c r="Z30" s="1" t="s">
        <v>424</v>
      </c>
      <c r="AA30" s="1" t="s">
        <v>480</v>
      </c>
    </row>
    <row r="31" spans="1:27" x14ac:dyDescent="0.45">
      <c r="A31" s="1" t="s">
        <v>96</v>
      </c>
      <c r="B31" s="1" t="s">
        <v>70</v>
      </c>
      <c r="C31" s="1" t="s">
        <v>762</v>
      </c>
      <c r="D31" s="1" t="s">
        <v>763</v>
      </c>
      <c r="E31" s="1">
        <v>2024</v>
      </c>
      <c r="F31" s="1" t="s">
        <v>514</v>
      </c>
      <c r="G31" s="1" t="s">
        <v>497</v>
      </c>
      <c r="H31" s="1" t="s">
        <v>307</v>
      </c>
      <c r="I31" s="1" t="s">
        <v>424</v>
      </c>
      <c r="J31" s="1" t="s">
        <v>307</v>
      </c>
      <c r="K31" s="1" t="s">
        <v>424</v>
      </c>
      <c r="L31" s="1" t="s">
        <v>307</v>
      </c>
      <c r="M31" s="1" t="s">
        <v>307</v>
      </c>
      <c r="N31" s="1" t="s">
        <v>424</v>
      </c>
      <c r="O31" s="1" t="s">
        <v>424</v>
      </c>
      <c r="P31" s="1" t="s">
        <v>307</v>
      </c>
      <c r="Q31" s="1" t="s">
        <v>495</v>
      </c>
      <c r="R31" s="1" t="s">
        <v>446</v>
      </c>
      <c r="S31" s="1" t="s">
        <v>307</v>
      </c>
      <c r="T31" s="1" t="s">
        <v>424</v>
      </c>
      <c r="U31" s="1" t="s">
        <v>307</v>
      </c>
      <c r="V31" s="1" t="s">
        <v>307</v>
      </c>
      <c r="W31" s="1" t="s">
        <v>767</v>
      </c>
      <c r="X31" s="1" t="s">
        <v>424</v>
      </c>
      <c r="Y31" s="1" t="s">
        <v>424</v>
      </c>
      <c r="Z31" s="1" t="s">
        <v>424</v>
      </c>
      <c r="AA31" s="1" t="s">
        <v>480</v>
      </c>
    </row>
    <row r="32" spans="1:27" x14ac:dyDescent="0.45">
      <c r="A32" s="1" t="s">
        <v>776</v>
      </c>
      <c r="B32" s="1" t="s">
        <v>262</v>
      </c>
      <c r="C32" s="1" t="s">
        <v>777</v>
      </c>
      <c r="D32" s="1" t="s">
        <v>778</v>
      </c>
      <c r="E32" s="1">
        <v>2025</v>
      </c>
      <c r="F32" s="1" t="s">
        <v>514</v>
      </c>
      <c r="G32" s="1" t="s">
        <v>497</v>
      </c>
      <c r="H32" s="1" t="s">
        <v>307</v>
      </c>
      <c r="I32" s="1" t="s">
        <v>424</v>
      </c>
      <c r="J32" s="1" t="s">
        <v>424</v>
      </c>
      <c r="K32" s="1" t="s">
        <v>307</v>
      </c>
      <c r="L32" s="1" t="s">
        <v>307</v>
      </c>
      <c r="M32" s="1" t="s">
        <v>307</v>
      </c>
      <c r="N32" s="1" t="s">
        <v>424</v>
      </c>
      <c r="O32" s="1" t="s">
        <v>424</v>
      </c>
      <c r="P32" s="1" t="s">
        <v>307</v>
      </c>
      <c r="Q32" s="1" t="s">
        <v>495</v>
      </c>
      <c r="R32" s="1" t="s">
        <v>446</v>
      </c>
      <c r="S32" s="1" t="s">
        <v>307</v>
      </c>
      <c r="T32" s="1" t="s">
        <v>424</v>
      </c>
      <c r="U32" s="1" t="s">
        <v>307</v>
      </c>
      <c r="V32" s="1" t="s">
        <v>307</v>
      </c>
      <c r="W32" s="1" t="s">
        <v>780</v>
      </c>
      <c r="X32" s="1" t="s">
        <v>424</v>
      </c>
      <c r="Y32" s="1" t="s">
        <v>424</v>
      </c>
      <c r="Z32" s="1" t="s">
        <v>779</v>
      </c>
      <c r="AA32" s="1" t="s">
        <v>772</v>
      </c>
    </row>
    <row r="33" spans="1:27" x14ac:dyDescent="0.45">
      <c r="A33" s="1" t="s">
        <v>788</v>
      </c>
      <c r="B33" s="1" t="s">
        <v>50</v>
      </c>
      <c r="C33" s="1" t="s">
        <v>789</v>
      </c>
      <c r="D33" s="1" t="s">
        <v>790</v>
      </c>
      <c r="E33" s="1">
        <v>2024</v>
      </c>
      <c r="F33" s="1" t="s">
        <v>427</v>
      </c>
      <c r="G33" s="1" t="s">
        <v>798</v>
      </c>
      <c r="H33" s="1" t="s">
        <v>424</v>
      </c>
      <c r="I33" s="1" t="s">
        <v>307</v>
      </c>
      <c r="J33" s="1" t="s">
        <v>307</v>
      </c>
      <c r="K33" s="1" t="s">
        <v>424</v>
      </c>
      <c r="L33" s="1" t="s">
        <v>307</v>
      </c>
      <c r="M33" s="1" t="s">
        <v>424</v>
      </c>
      <c r="N33" s="1" t="s">
        <v>424</v>
      </c>
      <c r="O33" s="1" t="s">
        <v>307</v>
      </c>
      <c r="P33" s="1" t="s">
        <v>424</v>
      </c>
      <c r="Q33" s="1" t="s">
        <v>424</v>
      </c>
      <c r="R33" s="1" t="s">
        <v>446</v>
      </c>
      <c r="S33" s="1" t="s">
        <v>424</v>
      </c>
      <c r="T33" s="1" t="s">
        <v>799</v>
      </c>
      <c r="U33" s="1" t="s">
        <v>307</v>
      </c>
      <c r="V33" s="1" t="s">
        <v>307</v>
      </c>
      <c r="W33" s="1" t="s">
        <v>701</v>
      </c>
      <c r="X33" s="1" t="s">
        <v>424</v>
      </c>
      <c r="Y33" s="1" t="s">
        <v>424</v>
      </c>
      <c r="Z33" s="1" t="s">
        <v>424</v>
      </c>
      <c r="AA33" s="1" t="s">
        <v>315</v>
      </c>
    </row>
    <row r="34" spans="1:27" x14ac:dyDescent="0.45">
      <c r="A34" s="1" t="s">
        <v>101</v>
      </c>
      <c r="B34" s="1" t="s">
        <v>11</v>
      </c>
      <c r="C34" s="1" t="s">
        <v>800</v>
      </c>
      <c r="D34" s="1" t="s">
        <v>801</v>
      </c>
      <c r="E34" s="1">
        <v>2023</v>
      </c>
      <c r="F34" s="1" t="s">
        <v>449</v>
      </c>
      <c r="G34" s="1" t="s">
        <v>647</v>
      </c>
      <c r="H34" s="1" t="s">
        <v>307</v>
      </c>
      <c r="I34" s="1" t="s">
        <v>424</v>
      </c>
      <c r="J34" s="1" t="s">
        <v>424</v>
      </c>
      <c r="K34" s="1" t="s">
        <v>307</v>
      </c>
      <c r="L34" s="1" t="s">
        <v>307</v>
      </c>
      <c r="M34" s="1" t="s">
        <v>307</v>
      </c>
      <c r="N34" s="1" t="s">
        <v>424</v>
      </c>
      <c r="O34" s="1" t="s">
        <v>424</v>
      </c>
      <c r="P34" s="1" t="s">
        <v>424</v>
      </c>
      <c r="Q34" s="1" t="s">
        <v>424</v>
      </c>
      <c r="R34" s="1" t="s">
        <v>446</v>
      </c>
      <c r="S34" s="1" t="s">
        <v>424</v>
      </c>
      <c r="T34" s="1" t="s">
        <v>438</v>
      </c>
      <c r="U34" s="1" t="s">
        <v>307</v>
      </c>
      <c r="V34" s="1" t="s">
        <v>307</v>
      </c>
      <c r="W34" s="1" t="s">
        <v>806</v>
      </c>
      <c r="X34" s="1" t="s">
        <v>424</v>
      </c>
      <c r="Y34" s="1" t="s">
        <v>424</v>
      </c>
      <c r="Z34" s="1" t="s">
        <v>424</v>
      </c>
      <c r="AA34" s="1" t="s">
        <v>424</v>
      </c>
    </row>
    <row r="35" spans="1:27" x14ac:dyDescent="0.45">
      <c r="A35" s="1" t="s">
        <v>317</v>
      </c>
      <c r="B35" s="1" t="s">
        <v>267</v>
      </c>
      <c r="C35" s="1" t="s">
        <v>807</v>
      </c>
      <c r="D35" s="1" t="s">
        <v>808</v>
      </c>
      <c r="E35" s="1">
        <v>2024</v>
      </c>
      <c r="F35" s="1" t="s">
        <v>494</v>
      </c>
      <c r="G35" s="1" t="s">
        <v>813</v>
      </c>
      <c r="H35" s="1" t="s">
        <v>307</v>
      </c>
      <c r="I35" s="1" t="s">
        <v>424</v>
      </c>
      <c r="J35" s="1" t="s">
        <v>424</v>
      </c>
      <c r="K35" s="1" t="s">
        <v>307</v>
      </c>
      <c r="L35" s="1" t="s">
        <v>307</v>
      </c>
      <c r="M35" s="1" t="s">
        <v>424</v>
      </c>
      <c r="N35" s="1" t="s">
        <v>424</v>
      </c>
      <c r="O35" s="1" t="s">
        <v>307</v>
      </c>
      <c r="P35" s="1" t="s">
        <v>424</v>
      </c>
      <c r="Q35" s="1" t="s">
        <v>424</v>
      </c>
      <c r="R35" s="1" t="s">
        <v>446</v>
      </c>
      <c r="S35" s="1" t="s">
        <v>424</v>
      </c>
      <c r="T35" s="1" t="s">
        <v>438</v>
      </c>
      <c r="U35" s="1" t="s">
        <v>307</v>
      </c>
      <c r="V35" s="1" t="s">
        <v>307</v>
      </c>
      <c r="W35" s="1" t="s">
        <v>688</v>
      </c>
      <c r="X35" s="1" t="s">
        <v>424</v>
      </c>
      <c r="Y35" s="1" t="s">
        <v>307</v>
      </c>
      <c r="Z35" s="1" t="s">
        <v>424</v>
      </c>
      <c r="AA35" s="1" t="s">
        <v>424</v>
      </c>
    </row>
    <row r="36" spans="1:27" x14ac:dyDescent="0.45">
      <c r="A36" s="1" t="s">
        <v>95</v>
      </c>
      <c r="B36" s="1" t="s">
        <v>65</v>
      </c>
      <c r="C36" s="1" t="s">
        <v>814</v>
      </c>
      <c r="D36" s="1" t="s">
        <v>815</v>
      </c>
      <c r="E36" s="1">
        <v>2023</v>
      </c>
      <c r="F36" s="1" t="s">
        <v>449</v>
      </c>
      <c r="G36" s="1" t="s">
        <v>821</v>
      </c>
      <c r="H36" s="1" t="s">
        <v>424</v>
      </c>
      <c r="I36" s="1" t="s">
        <v>307</v>
      </c>
      <c r="J36" s="1" t="s">
        <v>307</v>
      </c>
      <c r="K36" s="1" t="s">
        <v>424</v>
      </c>
      <c r="L36" s="1" t="s">
        <v>307</v>
      </c>
      <c r="M36" s="1" t="s">
        <v>307</v>
      </c>
      <c r="N36" s="1" t="s">
        <v>424</v>
      </c>
      <c r="O36" s="1" t="s">
        <v>424</v>
      </c>
      <c r="P36" s="1" t="s">
        <v>424</v>
      </c>
      <c r="Q36" s="1" t="s">
        <v>424</v>
      </c>
      <c r="R36" s="1" t="s">
        <v>446</v>
      </c>
      <c r="S36" s="1" t="s">
        <v>424</v>
      </c>
      <c r="T36" s="1" t="s">
        <v>438</v>
      </c>
      <c r="U36" s="1" t="s">
        <v>307</v>
      </c>
      <c r="V36" s="1" t="s">
        <v>307</v>
      </c>
      <c r="W36" s="1" t="s">
        <v>503</v>
      </c>
      <c r="X36" s="1" t="s">
        <v>424</v>
      </c>
      <c r="Y36" s="1" t="s">
        <v>307</v>
      </c>
      <c r="Z36" s="1" t="s">
        <v>424</v>
      </c>
      <c r="AA36" s="1" t="s">
        <v>424</v>
      </c>
    </row>
    <row r="37" spans="1:27" x14ac:dyDescent="0.45">
      <c r="A37" s="1" t="s">
        <v>322</v>
      </c>
      <c r="B37" s="1" t="s">
        <v>368</v>
      </c>
      <c r="C37" s="1" t="s">
        <v>829</v>
      </c>
      <c r="D37" s="1" t="s">
        <v>830</v>
      </c>
      <c r="E37" s="1">
        <v>2022</v>
      </c>
      <c r="F37" s="1" t="s">
        <v>449</v>
      </c>
      <c r="G37" s="1" t="s">
        <v>832</v>
      </c>
      <c r="H37" s="1" t="s">
        <v>307</v>
      </c>
      <c r="I37" s="1" t="s">
        <v>424</v>
      </c>
      <c r="J37" s="1" t="s">
        <v>307</v>
      </c>
      <c r="K37" s="1" t="s">
        <v>424</v>
      </c>
      <c r="L37" s="1" t="s">
        <v>307</v>
      </c>
      <c r="M37" s="1" t="s">
        <v>307</v>
      </c>
      <c r="N37" s="1" t="s">
        <v>424</v>
      </c>
      <c r="O37" s="1" t="s">
        <v>424</v>
      </c>
      <c r="P37" s="1" t="s">
        <v>424</v>
      </c>
      <c r="Q37" s="1" t="s">
        <v>424</v>
      </c>
      <c r="R37" s="1" t="s">
        <v>446</v>
      </c>
      <c r="S37" s="1" t="s">
        <v>424</v>
      </c>
      <c r="T37" s="1" t="s">
        <v>438</v>
      </c>
      <c r="U37" s="1" t="s">
        <v>307</v>
      </c>
      <c r="V37" s="1" t="s">
        <v>307</v>
      </c>
      <c r="W37" s="1" t="s">
        <v>833</v>
      </c>
      <c r="X37" s="1" t="s">
        <v>424</v>
      </c>
      <c r="Y37" s="1" t="s">
        <v>424</v>
      </c>
      <c r="Z37" s="1" t="s">
        <v>424</v>
      </c>
      <c r="AA37" s="1" t="s">
        <v>424</v>
      </c>
    </row>
    <row r="38" spans="1:27" x14ac:dyDescent="0.45">
      <c r="A38" s="1" t="s">
        <v>836</v>
      </c>
      <c r="B38" s="1" t="s">
        <v>371</v>
      </c>
      <c r="C38" s="1" t="s">
        <v>837</v>
      </c>
      <c r="D38" s="1" t="s">
        <v>839</v>
      </c>
      <c r="E38" s="1">
        <v>2014</v>
      </c>
      <c r="F38" s="1" t="s">
        <v>514</v>
      </c>
      <c r="G38" s="1" t="s">
        <v>832</v>
      </c>
      <c r="H38" s="1" t="s">
        <v>424</v>
      </c>
      <c r="I38" s="1" t="s">
        <v>307</v>
      </c>
      <c r="J38" s="1" t="s">
        <v>307</v>
      </c>
      <c r="K38" s="1" t="s">
        <v>424</v>
      </c>
      <c r="L38" s="1" t="s">
        <v>307</v>
      </c>
      <c r="M38" s="1" t="s">
        <v>307</v>
      </c>
      <c r="N38" s="1" t="s">
        <v>424</v>
      </c>
      <c r="O38" s="1" t="s">
        <v>424</v>
      </c>
      <c r="P38" s="1" t="s">
        <v>424</v>
      </c>
      <c r="Q38" s="1" t="s">
        <v>424</v>
      </c>
      <c r="R38" s="1" t="s">
        <v>503</v>
      </c>
      <c r="S38" s="1" t="s">
        <v>307</v>
      </c>
      <c r="T38" s="1" t="s">
        <v>424</v>
      </c>
      <c r="U38" s="1" t="s">
        <v>307</v>
      </c>
      <c r="V38" s="1" t="s">
        <v>307</v>
      </c>
      <c r="W38" s="1" t="s">
        <v>688</v>
      </c>
      <c r="X38" s="1" t="s">
        <v>424</v>
      </c>
      <c r="Y38" s="1" t="s">
        <v>424</v>
      </c>
      <c r="Z38" s="1" t="s">
        <v>424</v>
      </c>
      <c r="AA38" s="1" t="s">
        <v>844</v>
      </c>
    </row>
    <row r="39" spans="1:27" x14ac:dyDescent="0.45">
      <c r="A39" s="1" t="s">
        <v>321</v>
      </c>
      <c r="B39" s="1" t="s">
        <v>374</v>
      </c>
      <c r="C39" s="1" t="s">
        <v>847</v>
      </c>
      <c r="D39" s="1" t="s">
        <v>848</v>
      </c>
      <c r="E39" s="1">
        <v>2018</v>
      </c>
      <c r="F39" s="1" t="s">
        <v>449</v>
      </c>
      <c r="G39" s="1" t="s">
        <v>832</v>
      </c>
      <c r="H39" s="1" t="s">
        <v>307</v>
      </c>
      <c r="I39" s="1" t="s">
        <v>424</v>
      </c>
      <c r="J39" s="1" t="s">
        <v>307</v>
      </c>
      <c r="K39" s="1" t="s">
        <v>424</v>
      </c>
      <c r="L39" s="1" t="s">
        <v>307</v>
      </c>
      <c r="M39" s="1" t="s">
        <v>307</v>
      </c>
      <c r="N39" s="1" t="s">
        <v>424</v>
      </c>
      <c r="O39" s="1" t="s">
        <v>424</v>
      </c>
      <c r="P39" s="1" t="s">
        <v>424</v>
      </c>
      <c r="Q39" s="1" t="s">
        <v>424</v>
      </c>
      <c r="R39" s="1" t="s">
        <v>446</v>
      </c>
      <c r="S39" s="1" t="s">
        <v>424</v>
      </c>
      <c r="T39" s="1" t="s">
        <v>438</v>
      </c>
      <c r="U39" s="1" t="s">
        <v>307</v>
      </c>
      <c r="V39" s="1" t="s">
        <v>307</v>
      </c>
      <c r="W39" s="1" t="s">
        <v>560</v>
      </c>
      <c r="X39" s="1" t="s">
        <v>424</v>
      </c>
      <c r="Y39" s="1" t="s">
        <v>424</v>
      </c>
      <c r="Z39" s="1" t="s">
        <v>424</v>
      </c>
      <c r="AA39" s="1" t="s">
        <v>424</v>
      </c>
    </row>
    <row r="40" spans="1:27" x14ac:dyDescent="0.45">
      <c r="A40" s="1" t="s">
        <v>851</v>
      </c>
      <c r="B40" s="1" t="s">
        <v>377</v>
      </c>
      <c r="C40" s="1" t="s">
        <v>852</v>
      </c>
      <c r="D40" s="1" t="s">
        <v>853</v>
      </c>
      <c r="E40" s="1">
        <v>2021</v>
      </c>
      <c r="F40" s="1" t="s">
        <v>514</v>
      </c>
      <c r="G40" s="1" t="s">
        <v>667</v>
      </c>
      <c r="H40" s="1" t="s">
        <v>307</v>
      </c>
      <c r="I40" s="1" t="s">
        <v>424</v>
      </c>
      <c r="J40" s="1" t="s">
        <v>307</v>
      </c>
      <c r="K40" s="1" t="s">
        <v>424</v>
      </c>
      <c r="L40" s="1" t="s">
        <v>307</v>
      </c>
      <c r="M40" s="1" t="s">
        <v>307</v>
      </c>
      <c r="N40" s="1" t="s">
        <v>424</v>
      </c>
      <c r="O40" s="1" t="s">
        <v>424</v>
      </c>
      <c r="P40" s="1" t="s">
        <v>424</v>
      </c>
      <c r="Q40" s="1" t="s">
        <v>424</v>
      </c>
      <c r="R40" s="1" t="s">
        <v>503</v>
      </c>
      <c r="S40" s="1" t="s">
        <v>307</v>
      </c>
      <c r="T40" s="1" t="s">
        <v>424</v>
      </c>
      <c r="U40" s="1" t="s">
        <v>307</v>
      </c>
      <c r="V40" s="1" t="s">
        <v>307</v>
      </c>
      <c r="W40" s="1" t="s">
        <v>856</v>
      </c>
      <c r="X40" s="1" t="s">
        <v>424</v>
      </c>
      <c r="Y40" s="1" t="s">
        <v>424</v>
      </c>
      <c r="Z40" s="1" t="s">
        <v>424</v>
      </c>
      <c r="AA40" s="1" t="s">
        <v>857</v>
      </c>
    </row>
    <row r="41" spans="1:27" x14ac:dyDescent="0.45">
      <c r="A41" s="1" t="s">
        <v>536</v>
      </c>
      <c r="B41" s="1" t="s">
        <v>383</v>
      </c>
      <c r="C41" s="1" t="s">
        <v>860</v>
      </c>
      <c r="D41" s="1" t="s">
        <v>861</v>
      </c>
      <c r="E41" s="1">
        <v>2022</v>
      </c>
      <c r="F41" s="1" t="s">
        <v>514</v>
      </c>
      <c r="G41" s="1" t="s">
        <v>867</v>
      </c>
      <c r="H41" s="1" t="s">
        <v>424</v>
      </c>
      <c r="I41" s="1" t="s">
        <v>307</v>
      </c>
      <c r="J41" s="1" t="s">
        <v>307</v>
      </c>
      <c r="K41" s="1" t="s">
        <v>424</v>
      </c>
      <c r="L41" s="1" t="s">
        <v>307</v>
      </c>
      <c r="M41" s="1" t="s">
        <v>307</v>
      </c>
      <c r="N41" s="1" t="s">
        <v>424</v>
      </c>
      <c r="O41" s="1" t="s">
        <v>424</v>
      </c>
      <c r="P41" s="1" t="s">
        <v>307</v>
      </c>
      <c r="Q41" s="1" t="s">
        <v>701</v>
      </c>
      <c r="R41" s="1" t="s">
        <v>424</v>
      </c>
      <c r="S41" s="1" t="s">
        <v>307</v>
      </c>
      <c r="T41" s="1" t="s">
        <v>424</v>
      </c>
      <c r="U41" s="1" t="s">
        <v>307</v>
      </c>
      <c r="V41" s="1" t="s">
        <v>307</v>
      </c>
      <c r="W41" s="1" t="s">
        <v>868</v>
      </c>
      <c r="X41" s="1" t="s">
        <v>424</v>
      </c>
      <c r="Y41" s="1" t="s">
        <v>424</v>
      </c>
      <c r="Z41" s="1" t="s">
        <v>424</v>
      </c>
      <c r="AA41" s="1" t="s">
        <v>424</v>
      </c>
    </row>
    <row r="42" spans="1:27" x14ac:dyDescent="0.45">
      <c r="A42" s="1" t="s">
        <v>869</v>
      </c>
      <c r="B42" s="1" t="s">
        <v>66</v>
      </c>
      <c r="C42" s="1" t="s">
        <v>871</v>
      </c>
      <c r="D42" s="1" t="s">
        <v>870</v>
      </c>
      <c r="E42" s="1">
        <v>2024</v>
      </c>
      <c r="F42" s="1" t="s">
        <v>514</v>
      </c>
      <c r="G42" s="1" t="s">
        <v>875</v>
      </c>
      <c r="H42" s="1" t="s">
        <v>307</v>
      </c>
      <c r="I42" s="1" t="s">
        <v>424</v>
      </c>
      <c r="J42" s="1" t="s">
        <v>424</v>
      </c>
      <c r="K42" s="1" t="s">
        <v>307</v>
      </c>
      <c r="L42" s="1" t="s">
        <v>307</v>
      </c>
      <c r="M42" s="1" t="s">
        <v>307</v>
      </c>
      <c r="N42" s="1" t="s">
        <v>424</v>
      </c>
      <c r="O42" s="1" t="s">
        <v>424</v>
      </c>
      <c r="P42" s="1" t="s">
        <v>307</v>
      </c>
      <c r="Q42" s="1" t="s">
        <v>495</v>
      </c>
      <c r="R42" s="1"/>
      <c r="S42" s="1" t="s">
        <v>307</v>
      </c>
      <c r="T42" s="1" t="s">
        <v>424</v>
      </c>
      <c r="U42" s="1" t="s">
        <v>307</v>
      </c>
      <c r="V42" s="1" t="s">
        <v>307</v>
      </c>
      <c r="W42" s="1" t="s">
        <v>879</v>
      </c>
      <c r="X42" s="1" t="s">
        <v>424</v>
      </c>
      <c r="Y42" s="1" t="s">
        <v>424</v>
      </c>
      <c r="Z42" s="1" t="s">
        <v>424</v>
      </c>
      <c r="AA42" s="1" t="s">
        <v>878</v>
      </c>
    </row>
    <row r="45" spans="1:27" x14ac:dyDescent="0.45">
      <c r="A45" t="s">
        <v>882</v>
      </c>
    </row>
  </sheetData>
  <autoFilter ref="A1:AA42" xr:uid="{8ECA180B-AC72-4DEE-B5A6-2AA02CC8BE3B}"/>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50458-4E79-4B97-AC64-6057DAAAFEAB}">
  <dimension ref="A1:B6"/>
  <sheetViews>
    <sheetView workbookViewId="0">
      <selection activeCell="I34" sqref="I34"/>
    </sheetView>
  </sheetViews>
  <sheetFormatPr defaultRowHeight="14.25" x14ac:dyDescent="0.45"/>
  <cols>
    <col min="1" max="1" width="21.59765625" bestFit="1" customWidth="1"/>
    <col min="2" max="2" width="16.59765625" bestFit="1" customWidth="1"/>
  </cols>
  <sheetData>
    <row r="1" spans="1:2" x14ac:dyDescent="0.45">
      <c r="A1" s="20" t="s">
        <v>899</v>
      </c>
      <c r="B1" s="20" t="s">
        <v>900</v>
      </c>
    </row>
    <row r="2" spans="1:2" x14ac:dyDescent="0.45">
      <c r="A2" t="s">
        <v>495</v>
      </c>
      <c r="B2">
        <v>12</v>
      </c>
    </row>
    <row r="3" spans="1:2" x14ac:dyDescent="0.45">
      <c r="A3" t="s">
        <v>560</v>
      </c>
      <c r="B3">
        <v>2</v>
      </c>
    </row>
    <row r="4" spans="1:2" x14ac:dyDescent="0.45">
      <c r="A4" t="s">
        <v>701</v>
      </c>
      <c r="B4">
        <v>2</v>
      </c>
    </row>
    <row r="5" spans="1:2" x14ac:dyDescent="0.45">
      <c r="A5" t="s">
        <v>722</v>
      </c>
      <c r="B5">
        <v>1</v>
      </c>
    </row>
    <row r="6" spans="1:2" x14ac:dyDescent="0.45">
      <c r="A6" t="s">
        <v>898</v>
      </c>
      <c r="B6">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BEFA-445B-4C4B-B25D-216BBE7A9D49}">
  <dimension ref="A1:E42"/>
  <sheetViews>
    <sheetView workbookViewId="0">
      <selection activeCell="C1" sqref="C1:E42"/>
    </sheetView>
  </sheetViews>
  <sheetFormatPr defaultRowHeight="14.25" x14ac:dyDescent="0.45"/>
  <cols>
    <col min="1" max="1" width="19.59765625" bestFit="1" customWidth="1"/>
    <col min="2" max="2" width="12.53125" hidden="1" customWidth="1"/>
    <col min="3" max="3" width="8.53125" customWidth="1"/>
    <col min="4" max="4" width="12.796875" customWidth="1"/>
    <col min="5" max="5" width="15.3984375" bestFit="1" customWidth="1"/>
  </cols>
  <sheetData>
    <row r="1" spans="1:5" x14ac:dyDescent="0.45">
      <c r="A1" s="2" t="s">
        <v>386</v>
      </c>
      <c r="B1" s="2" t="s">
        <v>385</v>
      </c>
      <c r="C1" s="2" t="s">
        <v>313</v>
      </c>
      <c r="D1" s="2" t="s">
        <v>426</v>
      </c>
      <c r="E1" s="2" t="s">
        <v>400</v>
      </c>
    </row>
    <row r="2" spans="1:5" x14ac:dyDescent="0.45">
      <c r="A2" s="1" t="s">
        <v>408</v>
      </c>
      <c r="B2" s="1" t="s">
        <v>409</v>
      </c>
      <c r="C2" s="1">
        <v>2024</v>
      </c>
      <c r="D2" s="1" t="s">
        <v>427</v>
      </c>
      <c r="E2" s="1" t="s">
        <v>503</v>
      </c>
    </row>
    <row r="3" spans="1:5" x14ac:dyDescent="0.45">
      <c r="A3" s="1" t="s">
        <v>443</v>
      </c>
      <c r="B3" s="1" t="s">
        <v>444</v>
      </c>
      <c r="C3" s="1">
        <v>2021</v>
      </c>
      <c r="D3" s="1" t="s">
        <v>449</v>
      </c>
      <c r="E3" s="1" t="s">
        <v>438</v>
      </c>
    </row>
    <row r="4" spans="1:5" x14ac:dyDescent="0.45">
      <c r="A4" s="1" t="s">
        <v>464</v>
      </c>
      <c r="B4" s="1" t="s">
        <v>465</v>
      </c>
      <c r="C4" s="1">
        <v>2025</v>
      </c>
      <c r="D4" s="1" t="s">
        <v>427</v>
      </c>
      <c r="E4" s="1" t="s">
        <v>438</v>
      </c>
    </row>
    <row r="5" spans="1:5" x14ac:dyDescent="0.45">
      <c r="A5" s="1" t="s">
        <v>474</v>
      </c>
      <c r="B5" s="1" t="s">
        <v>475</v>
      </c>
      <c r="C5" s="1">
        <v>2025</v>
      </c>
      <c r="D5" s="1" t="s">
        <v>494</v>
      </c>
      <c r="E5" s="1" t="s">
        <v>483</v>
      </c>
    </row>
    <row r="6" spans="1:5" x14ac:dyDescent="0.45">
      <c r="A6" s="1" t="s">
        <v>506</v>
      </c>
      <c r="B6" s="1" t="s">
        <v>507</v>
      </c>
      <c r="C6" s="1">
        <v>2025</v>
      </c>
      <c r="D6" s="1" t="s">
        <v>514</v>
      </c>
      <c r="E6" s="1" t="s">
        <v>913</v>
      </c>
    </row>
    <row r="7" spans="1:5" x14ac:dyDescent="0.45">
      <c r="A7" s="1" t="s">
        <v>519</v>
      </c>
      <c r="B7" s="1" t="s">
        <v>520</v>
      </c>
      <c r="C7" s="1">
        <v>2026</v>
      </c>
      <c r="D7" s="1" t="s">
        <v>427</v>
      </c>
      <c r="E7" s="1" t="s">
        <v>483</v>
      </c>
    </row>
    <row r="8" spans="1:5" x14ac:dyDescent="0.45">
      <c r="A8" s="1" t="s">
        <v>539</v>
      </c>
      <c r="B8" s="1" t="s">
        <v>538</v>
      </c>
      <c r="C8" s="1">
        <v>2025</v>
      </c>
      <c r="D8" s="1" t="s">
        <v>449</v>
      </c>
      <c r="E8" s="1" t="s">
        <v>503</v>
      </c>
    </row>
    <row r="9" spans="1:5" x14ac:dyDescent="0.45">
      <c r="A9" s="1" t="s">
        <v>546</v>
      </c>
      <c r="B9" s="1" t="s">
        <v>547</v>
      </c>
      <c r="C9" s="1">
        <v>2025</v>
      </c>
      <c r="D9" s="1" t="s">
        <v>514</v>
      </c>
      <c r="E9" s="1" t="s">
        <v>913</v>
      </c>
    </row>
    <row r="10" spans="1:5" x14ac:dyDescent="0.45">
      <c r="A10" s="1" t="s">
        <v>564</v>
      </c>
      <c r="B10" s="1" t="s">
        <v>565</v>
      </c>
      <c r="C10" s="1">
        <v>2025</v>
      </c>
      <c r="D10" s="1" t="s">
        <v>449</v>
      </c>
      <c r="E10" s="1" t="s">
        <v>575</v>
      </c>
    </row>
    <row r="11" spans="1:5" x14ac:dyDescent="0.45">
      <c r="A11" s="1" t="s">
        <v>580</v>
      </c>
      <c r="B11" s="1" t="s">
        <v>579</v>
      </c>
      <c r="C11" s="1">
        <v>2025</v>
      </c>
      <c r="D11" s="1" t="s">
        <v>449</v>
      </c>
      <c r="E11" s="1" t="s">
        <v>438</v>
      </c>
    </row>
    <row r="12" spans="1:5" x14ac:dyDescent="0.45">
      <c r="A12" s="1" t="s">
        <v>580</v>
      </c>
      <c r="B12" s="1" t="s">
        <v>579</v>
      </c>
      <c r="C12" s="1">
        <v>2025</v>
      </c>
      <c r="D12" s="1" t="s">
        <v>427</v>
      </c>
      <c r="E12" s="1" t="s">
        <v>438</v>
      </c>
    </row>
    <row r="13" spans="1:5" x14ac:dyDescent="0.45">
      <c r="A13" s="1" t="s">
        <v>589</v>
      </c>
      <c r="B13" s="1" t="s">
        <v>489</v>
      </c>
      <c r="C13" s="1">
        <v>2025</v>
      </c>
      <c r="D13" s="1" t="s">
        <v>514</v>
      </c>
      <c r="E13" s="1" t="s">
        <v>913</v>
      </c>
    </row>
    <row r="14" spans="1:5" x14ac:dyDescent="0.45">
      <c r="A14" s="1" t="s">
        <v>600</v>
      </c>
      <c r="B14" s="1" t="s">
        <v>601</v>
      </c>
      <c r="C14" s="1">
        <v>2026</v>
      </c>
      <c r="D14" s="1" t="s">
        <v>606</v>
      </c>
      <c r="E14" s="1" t="s">
        <v>483</v>
      </c>
    </row>
    <row r="15" spans="1:5" x14ac:dyDescent="0.45">
      <c r="A15" s="1" t="s">
        <v>612</v>
      </c>
      <c r="B15" s="1" t="s">
        <v>613</v>
      </c>
      <c r="C15" s="1">
        <v>2022</v>
      </c>
      <c r="D15" s="1" t="s">
        <v>514</v>
      </c>
      <c r="E15" s="1" t="s">
        <v>913</v>
      </c>
    </row>
    <row r="16" spans="1:5" x14ac:dyDescent="0.45">
      <c r="A16" s="1" t="s">
        <v>621</v>
      </c>
      <c r="B16" s="1" t="s">
        <v>622</v>
      </c>
      <c r="C16" s="1">
        <v>2022</v>
      </c>
      <c r="D16" s="1" t="s">
        <v>494</v>
      </c>
      <c r="E16" s="1" t="s">
        <v>438</v>
      </c>
    </row>
    <row r="17" spans="1:5" x14ac:dyDescent="0.45">
      <c r="A17" s="1" t="s">
        <v>621</v>
      </c>
      <c r="B17" s="1" t="s">
        <v>622</v>
      </c>
      <c r="C17" s="1">
        <v>2022</v>
      </c>
      <c r="D17" s="1" t="s">
        <v>896</v>
      </c>
      <c r="E17" s="1" t="s">
        <v>438</v>
      </c>
    </row>
    <row r="18" spans="1:5" x14ac:dyDescent="0.45">
      <c r="A18" s="1" t="s">
        <v>631</v>
      </c>
      <c r="B18" s="1" t="s">
        <v>632</v>
      </c>
      <c r="C18" s="1">
        <v>2025</v>
      </c>
      <c r="D18" s="1" t="s">
        <v>449</v>
      </c>
      <c r="E18" s="1" t="s">
        <v>438</v>
      </c>
    </row>
    <row r="19" spans="1:5" x14ac:dyDescent="0.45">
      <c r="A19" s="1" t="s">
        <v>641</v>
      </c>
      <c r="B19" s="1" t="s">
        <v>642</v>
      </c>
      <c r="C19" s="1">
        <v>2024</v>
      </c>
      <c r="D19" s="1" t="s">
        <v>494</v>
      </c>
      <c r="E19" s="1" t="s">
        <v>483</v>
      </c>
    </row>
    <row r="20" spans="1:5" x14ac:dyDescent="0.45">
      <c r="A20" s="1" t="s">
        <v>650</v>
      </c>
      <c r="B20" s="1" t="s">
        <v>651</v>
      </c>
      <c r="C20" s="1">
        <v>2025</v>
      </c>
      <c r="D20" s="1" t="s">
        <v>514</v>
      </c>
      <c r="E20" s="1" t="s">
        <v>913</v>
      </c>
    </row>
    <row r="21" spans="1:5" x14ac:dyDescent="0.45">
      <c r="A21" s="1" t="s">
        <v>660</v>
      </c>
      <c r="B21" s="1" t="s">
        <v>661</v>
      </c>
      <c r="C21" s="1">
        <v>2025</v>
      </c>
      <c r="D21" s="1" t="s">
        <v>449</v>
      </c>
      <c r="E21" s="1" t="s">
        <v>438</v>
      </c>
    </row>
    <row r="22" spans="1:5" x14ac:dyDescent="0.45">
      <c r="A22" s="1" t="s">
        <v>669</v>
      </c>
      <c r="B22" s="1" t="s">
        <v>670</v>
      </c>
      <c r="C22" s="1">
        <v>2025</v>
      </c>
      <c r="D22" s="1" t="s">
        <v>514</v>
      </c>
      <c r="E22" s="1" t="s">
        <v>913</v>
      </c>
    </row>
    <row r="23" spans="1:5" x14ac:dyDescent="0.45">
      <c r="A23" s="1" t="s">
        <v>681</v>
      </c>
      <c r="B23" s="1" t="s">
        <v>680</v>
      </c>
      <c r="C23" s="1">
        <v>2025</v>
      </c>
      <c r="D23" s="1" t="s">
        <v>514</v>
      </c>
      <c r="E23" s="1" t="s">
        <v>913</v>
      </c>
    </row>
    <row r="24" spans="1:5" x14ac:dyDescent="0.45">
      <c r="A24" s="1" t="s">
        <v>692</v>
      </c>
      <c r="B24" s="1" t="s">
        <v>693</v>
      </c>
      <c r="C24" s="1">
        <v>2025</v>
      </c>
      <c r="D24" s="1" t="s">
        <v>697</v>
      </c>
      <c r="E24" s="1" t="s">
        <v>699</v>
      </c>
    </row>
    <row r="25" spans="1:5" x14ac:dyDescent="0.45">
      <c r="A25" s="1" t="s">
        <v>703</v>
      </c>
      <c r="B25" s="1" t="s">
        <v>704</v>
      </c>
      <c r="C25" s="1">
        <v>2025</v>
      </c>
      <c r="D25" s="1" t="s">
        <v>427</v>
      </c>
      <c r="E25" s="1" t="s">
        <v>503</v>
      </c>
    </row>
    <row r="26" spans="1:5" x14ac:dyDescent="0.45">
      <c r="A26" s="1" t="s">
        <v>711</v>
      </c>
      <c r="B26" s="1" t="s">
        <v>712</v>
      </c>
      <c r="C26" s="1">
        <v>2026</v>
      </c>
      <c r="D26" s="1" t="s">
        <v>427</v>
      </c>
      <c r="E26" s="1" t="s">
        <v>438</v>
      </c>
    </row>
    <row r="27" spans="1:5" x14ac:dyDescent="0.45">
      <c r="A27" s="1" t="s">
        <v>725</v>
      </c>
      <c r="B27" s="1" t="s">
        <v>726</v>
      </c>
      <c r="C27" s="1">
        <v>2025</v>
      </c>
      <c r="D27" s="1" t="s">
        <v>514</v>
      </c>
      <c r="E27" s="1" t="s">
        <v>913</v>
      </c>
    </row>
    <row r="28" spans="1:5" x14ac:dyDescent="0.45">
      <c r="A28" s="1" t="s">
        <v>737</v>
      </c>
      <c r="B28" s="1" t="s">
        <v>738</v>
      </c>
      <c r="C28" s="1">
        <v>2022</v>
      </c>
      <c r="D28" s="1" t="s">
        <v>514</v>
      </c>
      <c r="E28" s="1" t="s">
        <v>913</v>
      </c>
    </row>
    <row r="29" spans="1:5" x14ac:dyDescent="0.45">
      <c r="A29" s="1" t="s">
        <v>745</v>
      </c>
      <c r="B29" s="1" t="s">
        <v>746</v>
      </c>
      <c r="C29" s="1">
        <v>2024</v>
      </c>
      <c r="D29" s="1" t="s">
        <v>503</v>
      </c>
      <c r="E29" s="1" t="s">
        <v>752</v>
      </c>
    </row>
    <row r="30" spans="1:5" x14ac:dyDescent="0.45">
      <c r="A30" s="1" t="s">
        <v>755</v>
      </c>
      <c r="B30" s="1" t="s">
        <v>670</v>
      </c>
      <c r="C30" s="1">
        <v>2024</v>
      </c>
      <c r="D30" s="1" t="s">
        <v>449</v>
      </c>
      <c r="E30" s="1" t="s">
        <v>438</v>
      </c>
    </row>
    <row r="31" spans="1:5" x14ac:dyDescent="0.45">
      <c r="A31" s="1" t="s">
        <v>762</v>
      </c>
      <c r="B31" s="1" t="s">
        <v>763</v>
      </c>
      <c r="C31" s="1">
        <v>2024</v>
      </c>
      <c r="D31" s="1" t="s">
        <v>514</v>
      </c>
      <c r="E31" s="1" t="s">
        <v>913</v>
      </c>
    </row>
    <row r="32" spans="1:5" x14ac:dyDescent="0.45">
      <c r="A32" s="1" t="s">
        <v>777</v>
      </c>
      <c r="B32" s="1" t="s">
        <v>778</v>
      </c>
      <c r="C32" s="1">
        <v>2025</v>
      </c>
      <c r="D32" s="1" t="s">
        <v>514</v>
      </c>
      <c r="E32" s="1" t="s">
        <v>913</v>
      </c>
    </row>
    <row r="33" spans="1:5" x14ac:dyDescent="0.45">
      <c r="A33" s="1" t="s">
        <v>789</v>
      </c>
      <c r="B33" s="1" t="s">
        <v>790</v>
      </c>
      <c r="C33" s="1">
        <v>2024</v>
      </c>
      <c r="D33" s="1" t="s">
        <v>427</v>
      </c>
      <c r="E33" s="1" t="s">
        <v>799</v>
      </c>
    </row>
    <row r="34" spans="1:5" x14ac:dyDescent="0.45">
      <c r="A34" s="1" t="s">
        <v>800</v>
      </c>
      <c r="B34" s="1" t="s">
        <v>801</v>
      </c>
      <c r="C34" s="1">
        <v>2023</v>
      </c>
      <c r="D34" s="1" t="s">
        <v>449</v>
      </c>
      <c r="E34" s="1" t="s">
        <v>438</v>
      </c>
    </row>
    <row r="35" spans="1:5" x14ac:dyDescent="0.45">
      <c r="A35" s="1" t="s">
        <v>807</v>
      </c>
      <c r="B35" s="1" t="s">
        <v>808</v>
      </c>
      <c r="C35" s="1">
        <v>2024</v>
      </c>
      <c r="D35" s="1" t="s">
        <v>494</v>
      </c>
      <c r="E35" s="1" t="s">
        <v>438</v>
      </c>
    </row>
    <row r="36" spans="1:5" x14ac:dyDescent="0.45">
      <c r="A36" s="1" t="s">
        <v>814</v>
      </c>
      <c r="B36" s="1" t="s">
        <v>815</v>
      </c>
      <c r="C36" s="1">
        <v>2023</v>
      </c>
      <c r="D36" s="1" t="s">
        <v>449</v>
      </c>
      <c r="E36" s="1" t="s">
        <v>438</v>
      </c>
    </row>
    <row r="37" spans="1:5" x14ac:dyDescent="0.45">
      <c r="A37" s="1" t="s">
        <v>829</v>
      </c>
      <c r="B37" s="1" t="s">
        <v>830</v>
      </c>
      <c r="C37" s="1">
        <v>2022</v>
      </c>
      <c r="D37" s="1" t="s">
        <v>449</v>
      </c>
      <c r="E37" s="1" t="s">
        <v>438</v>
      </c>
    </row>
    <row r="38" spans="1:5" x14ac:dyDescent="0.45">
      <c r="A38" s="1" t="s">
        <v>837</v>
      </c>
      <c r="B38" s="1" t="s">
        <v>839</v>
      </c>
      <c r="C38" s="1">
        <v>2014</v>
      </c>
      <c r="D38" s="1" t="s">
        <v>514</v>
      </c>
      <c r="E38" s="1" t="s">
        <v>913</v>
      </c>
    </row>
    <row r="39" spans="1:5" x14ac:dyDescent="0.45">
      <c r="A39" s="1" t="s">
        <v>847</v>
      </c>
      <c r="B39" s="1" t="s">
        <v>848</v>
      </c>
      <c r="C39" s="1">
        <v>2018</v>
      </c>
      <c r="D39" s="1" t="s">
        <v>449</v>
      </c>
      <c r="E39" s="1" t="s">
        <v>438</v>
      </c>
    </row>
    <row r="40" spans="1:5" x14ac:dyDescent="0.45">
      <c r="A40" s="1" t="s">
        <v>852</v>
      </c>
      <c r="B40" s="1" t="s">
        <v>853</v>
      </c>
      <c r="C40" s="1">
        <v>2021</v>
      </c>
      <c r="D40" s="1" t="s">
        <v>514</v>
      </c>
      <c r="E40" s="1" t="s">
        <v>913</v>
      </c>
    </row>
    <row r="41" spans="1:5" x14ac:dyDescent="0.45">
      <c r="A41" s="1" t="s">
        <v>860</v>
      </c>
      <c r="B41" s="1" t="s">
        <v>861</v>
      </c>
      <c r="C41" s="1">
        <v>2022</v>
      </c>
      <c r="D41" s="1" t="s">
        <v>514</v>
      </c>
      <c r="E41" s="1" t="s">
        <v>913</v>
      </c>
    </row>
    <row r="42" spans="1:5" x14ac:dyDescent="0.45">
      <c r="A42" s="1" t="s">
        <v>871</v>
      </c>
      <c r="B42" s="1" t="s">
        <v>870</v>
      </c>
      <c r="C42" s="1">
        <v>2024</v>
      </c>
      <c r="D42" s="1" t="s">
        <v>514</v>
      </c>
      <c r="E42" s="1" t="s">
        <v>913</v>
      </c>
    </row>
  </sheetData>
  <autoFilter ref="A1:E42" xr:uid="{33BFBEFA-445B-4C4B-B25D-216BBE7A9D49}"/>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47D0-EE17-4A85-8BA0-2328353C508D}">
  <dimension ref="A1:M41"/>
  <sheetViews>
    <sheetView zoomScale="85" zoomScaleNormal="85" workbookViewId="0">
      <selection activeCell="D7" sqref="D7"/>
    </sheetView>
  </sheetViews>
  <sheetFormatPr defaultRowHeight="14.25" x14ac:dyDescent="0.45"/>
  <cols>
    <col min="1" max="1" width="19.59765625" bestFit="1" customWidth="1"/>
    <col min="2" max="6" width="11.3984375"/>
    <col min="7" max="7" width="10" customWidth="1"/>
    <col min="8" max="8" width="12" customWidth="1"/>
    <col min="9" max="9" width="15.86328125" customWidth="1"/>
    <col min="10" max="10" width="10.86328125" customWidth="1"/>
    <col min="11" max="11" width="13" customWidth="1"/>
    <col min="12" max="12" width="13.73046875" customWidth="1"/>
    <col min="13" max="13" width="19.86328125" customWidth="1"/>
  </cols>
  <sheetData>
    <row r="1" spans="1:13" x14ac:dyDescent="0.45">
      <c r="A1" s="2" t="s">
        <v>386</v>
      </c>
      <c r="B1" s="2" t="s">
        <v>455</v>
      </c>
      <c r="C1" s="2" t="s">
        <v>463</v>
      </c>
      <c r="D1" s="2" t="s">
        <v>897</v>
      </c>
      <c r="E1" s="2" t="s">
        <v>468</v>
      </c>
      <c r="F1" s="2" t="s">
        <v>479</v>
      </c>
      <c r="G1" s="2" t="s">
        <v>523</v>
      </c>
      <c r="H1" s="2" t="s">
        <v>440</v>
      </c>
      <c r="I1" s="2" t="s">
        <v>460</v>
      </c>
      <c r="J1" s="2" t="s">
        <v>426</v>
      </c>
      <c r="K1" s="20" t="s">
        <v>551</v>
      </c>
      <c r="L1" s="20" t="s">
        <v>895</v>
      </c>
      <c r="M1" s="20" t="s">
        <v>894</v>
      </c>
    </row>
    <row r="2" spans="1:13" x14ac:dyDescent="0.45">
      <c r="A2" s="1" t="s">
        <v>408</v>
      </c>
      <c r="B2" s="10" t="s">
        <v>424</v>
      </c>
      <c r="C2" s="10" t="s">
        <v>424</v>
      </c>
      <c r="D2" s="10" t="s">
        <v>307</v>
      </c>
      <c r="E2" s="10" t="s">
        <v>424</v>
      </c>
      <c r="F2" s="10" t="s">
        <v>424</v>
      </c>
      <c r="G2" s="10" t="s">
        <v>424</v>
      </c>
      <c r="H2" s="10" t="s">
        <v>307</v>
      </c>
      <c r="I2" s="10" t="s">
        <v>424</v>
      </c>
      <c r="J2" s="1" t="s">
        <v>427</v>
      </c>
      <c r="K2" s="1" t="s">
        <v>307</v>
      </c>
      <c r="L2" s="1" t="s">
        <v>424</v>
      </c>
      <c r="M2" s="1" t="s">
        <v>307</v>
      </c>
    </row>
    <row r="3" spans="1:13" x14ac:dyDescent="0.45">
      <c r="A3" s="1" t="s">
        <v>443</v>
      </c>
      <c r="B3" s="10" t="s">
        <v>307</v>
      </c>
      <c r="C3" s="10" t="s">
        <v>424</v>
      </c>
      <c r="D3" s="10" t="s">
        <v>424</v>
      </c>
      <c r="E3" s="10" t="s">
        <v>424</v>
      </c>
      <c r="F3" s="10" t="s">
        <v>424</v>
      </c>
      <c r="G3" s="10" t="s">
        <v>424</v>
      </c>
      <c r="H3" s="10" t="s">
        <v>424</v>
      </c>
      <c r="I3" s="10" t="s">
        <v>307</v>
      </c>
      <c r="J3" s="1" t="s">
        <v>449</v>
      </c>
      <c r="K3" s="1" t="s">
        <v>424</v>
      </c>
      <c r="L3" s="1" t="s">
        <v>307</v>
      </c>
      <c r="M3" s="1" t="s">
        <v>307</v>
      </c>
    </row>
    <row r="4" spans="1:13" x14ac:dyDescent="0.45">
      <c r="A4" s="1" t="s">
        <v>464</v>
      </c>
      <c r="B4" s="10" t="s">
        <v>424</v>
      </c>
      <c r="C4" s="10" t="s">
        <v>424</v>
      </c>
      <c r="D4" s="10" t="s">
        <v>307</v>
      </c>
      <c r="E4" s="10" t="s">
        <v>424</v>
      </c>
      <c r="F4" s="10" t="s">
        <v>424</v>
      </c>
      <c r="G4" s="10" t="s">
        <v>424</v>
      </c>
      <c r="H4" s="10" t="s">
        <v>424</v>
      </c>
      <c r="I4" s="10" t="s">
        <v>307</v>
      </c>
      <c r="J4" s="1" t="s">
        <v>427</v>
      </c>
      <c r="K4" s="1" t="s">
        <v>307</v>
      </c>
      <c r="L4" s="1" t="s">
        <v>424</v>
      </c>
      <c r="M4" s="1" t="s">
        <v>307</v>
      </c>
    </row>
    <row r="5" spans="1:13" x14ac:dyDescent="0.45">
      <c r="A5" s="1" t="s">
        <v>474</v>
      </c>
      <c r="B5" s="10" t="s">
        <v>424</v>
      </c>
      <c r="C5" s="10" t="s">
        <v>424</v>
      </c>
      <c r="D5" s="10" t="s">
        <v>307</v>
      </c>
      <c r="E5" s="10" t="s">
        <v>424</v>
      </c>
      <c r="F5" s="10" t="s">
        <v>307</v>
      </c>
      <c r="G5" s="10" t="s">
        <v>307</v>
      </c>
      <c r="H5" s="10" t="s">
        <v>424</v>
      </c>
      <c r="I5" s="10" t="s">
        <v>307</v>
      </c>
      <c r="J5" s="1" t="s">
        <v>494</v>
      </c>
      <c r="K5" s="1" t="s">
        <v>424</v>
      </c>
      <c r="L5" s="1" t="s">
        <v>307</v>
      </c>
      <c r="M5" s="1" t="s">
        <v>307</v>
      </c>
    </row>
    <row r="6" spans="1:13" x14ac:dyDescent="0.45">
      <c r="A6" s="1" t="s">
        <v>506</v>
      </c>
      <c r="B6" s="10" t="s">
        <v>307</v>
      </c>
      <c r="C6" s="10" t="s">
        <v>307</v>
      </c>
      <c r="D6" s="10" t="s">
        <v>307</v>
      </c>
      <c r="E6" s="10" t="s">
        <v>424</v>
      </c>
      <c r="F6" s="10" t="s">
        <v>424</v>
      </c>
      <c r="G6" s="10" t="s">
        <v>307</v>
      </c>
      <c r="H6" s="10" t="s">
        <v>307</v>
      </c>
      <c r="I6" s="10" t="s">
        <v>307</v>
      </c>
      <c r="J6" s="1" t="s">
        <v>514</v>
      </c>
      <c r="K6" s="1" t="s">
        <v>307</v>
      </c>
      <c r="L6" s="1" t="s">
        <v>307</v>
      </c>
      <c r="M6" s="1" t="s">
        <v>307</v>
      </c>
    </row>
    <row r="7" spans="1:13" x14ac:dyDescent="0.45">
      <c r="A7" s="1" t="s">
        <v>519</v>
      </c>
      <c r="B7" s="10" t="s">
        <v>307</v>
      </c>
      <c r="C7" s="10" t="s">
        <v>307</v>
      </c>
      <c r="D7" s="10" t="s">
        <v>307</v>
      </c>
      <c r="E7" s="10" t="s">
        <v>424</v>
      </c>
      <c r="F7" s="10" t="s">
        <v>307</v>
      </c>
      <c r="G7" s="10" t="s">
        <v>307</v>
      </c>
      <c r="H7" s="10" t="s">
        <v>307</v>
      </c>
      <c r="I7" s="10" t="s">
        <v>424</v>
      </c>
      <c r="J7" s="1" t="s">
        <v>427</v>
      </c>
      <c r="K7" s="1" t="s">
        <v>307</v>
      </c>
      <c r="L7" s="1" t="s">
        <v>424</v>
      </c>
      <c r="M7" s="1" t="s">
        <v>307</v>
      </c>
    </row>
    <row r="8" spans="1:13" x14ac:dyDescent="0.45">
      <c r="A8" s="1" t="s">
        <v>539</v>
      </c>
      <c r="B8" s="10" t="s">
        <v>424</v>
      </c>
      <c r="C8" s="10" t="s">
        <v>424</v>
      </c>
      <c r="D8" s="10" t="s">
        <v>307</v>
      </c>
      <c r="E8" s="10" t="s">
        <v>424</v>
      </c>
      <c r="F8" s="10" t="s">
        <v>424</v>
      </c>
      <c r="G8" s="10" t="s">
        <v>424</v>
      </c>
      <c r="H8" s="10" t="s">
        <v>424</v>
      </c>
      <c r="I8" s="10" t="s">
        <v>307</v>
      </c>
      <c r="J8" s="1" t="s">
        <v>449</v>
      </c>
      <c r="K8" s="1" t="s">
        <v>307</v>
      </c>
      <c r="L8" s="1" t="s">
        <v>424</v>
      </c>
      <c r="M8" s="1" t="s">
        <v>307</v>
      </c>
    </row>
    <row r="9" spans="1:13" x14ac:dyDescent="0.45">
      <c r="A9" s="1" t="s">
        <v>546</v>
      </c>
      <c r="B9" s="10" t="s">
        <v>424</v>
      </c>
      <c r="C9" s="10" t="s">
        <v>424</v>
      </c>
      <c r="D9" s="10" t="s">
        <v>307</v>
      </c>
      <c r="E9" s="10" t="s">
        <v>424</v>
      </c>
      <c r="F9" s="10" t="s">
        <v>424</v>
      </c>
      <c r="G9" s="10" t="s">
        <v>424</v>
      </c>
      <c r="H9" s="10" t="s">
        <v>424</v>
      </c>
      <c r="I9" s="10" t="s">
        <v>307</v>
      </c>
      <c r="J9" s="1" t="s">
        <v>514</v>
      </c>
      <c r="K9" s="1" t="s">
        <v>307</v>
      </c>
      <c r="L9" s="1" t="s">
        <v>424</v>
      </c>
      <c r="M9" s="1" t="s">
        <v>424</v>
      </c>
    </row>
    <row r="10" spans="1:13" x14ac:dyDescent="0.45">
      <c r="A10" s="1" t="s">
        <v>564</v>
      </c>
      <c r="B10" s="10" t="s">
        <v>424</v>
      </c>
      <c r="C10" s="10" t="s">
        <v>307</v>
      </c>
      <c r="D10" s="10" t="s">
        <v>307</v>
      </c>
      <c r="E10" s="10" t="s">
        <v>424</v>
      </c>
      <c r="F10" s="10" t="s">
        <v>424</v>
      </c>
      <c r="G10" s="12" t="s">
        <v>424</v>
      </c>
      <c r="H10" s="12" t="s">
        <v>307</v>
      </c>
      <c r="I10" s="12" t="s">
        <v>307</v>
      </c>
      <c r="J10" s="1" t="s">
        <v>449</v>
      </c>
      <c r="K10" s="1" t="s">
        <v>424</v>
      </c>
      <c r="L10" s="1" t="s">
        <v>307</v>
      </c>
      <c r="M10" s="1" t="s">
        <v>307</v>
      </c>
    </row>
    <row r="11" spans="1:13" x14ac:dyDescent="0.45">
      <c r="A11" s="1" t="s">
        <v>580</v>
      </c>
      <c r="B11" s="10" t="s">
        <v>307</v>
      </c>
      <c r="C11" s="10" t="s">
        <v>424</v>
      </c>
      <c r="D11" s="10" t="s">
        <v>424</v>
      </c>
      <c r="E11" s="10" t="s">
        <v>424</v>
      </c>
      <c r="F11" s="10" t="s">
        <v>424</v>
      </c>
      <c r="G11" s="10" t="s">
        <v>307</v>
      </c>
      <c r="H11" s="10" t="s">
        <v>424</v>
      </c>
      <c r="I11" s="10" t="s">
        <v>424</v>
      </c>
      <c r="J11" s="1" t="s">
        <v>449</v>
      </c>
      <c r="K11" s="1" t="s">
        <v>307</v>
      </c>
      <c r="L11" s="1" t="s">
        <v>424</v>
      </c>
      <c r="M11" s="1" t="s">
        <v>307</v>
      </c>
    </row>
    <row r="12" spans="1:13" x14ac:dyDescent="0.45">
      <c r="A12" s="1" t="s">
        <v>580</v>
      </c>
      <c r="B12" s="10" t="s">
        <v>307</v>
      </c>
      <c r="C12" s="10" t="s">
        <v>424</v>
      </c>
      <c r="D12" s="10" t="s">
        <v>424</v>
      </c>
      <c r="E12" s="10" t="s">
        <v>424</v>
      </c>
      <c r="F12" s="10" t="s">
        <v>424</v>
      </c>
      <c r="G12" s="10" t="s">
        <v>307</v>
      </c>
      <c r="H12" s="10" t="s">
        <v>424</v>
      </c>
      <c r="I12" s="10" t="s">
        <v>424</v>
      </c>
      <c r="J12" s="1" t="s">
        <v>427</v>
      </c>
      <c r="K12" s="1" t="s">
        <v>307</v>
      </c>
      <c r="L12" s="1" t="s">
        <v>424</v>
      </c>
      <c r="M12" s="1" t="s">
        <v>307</v>
      </c>
    </row>
    <row r="13" spans="1:13" x14ac:dyDescent="0.45">
      <c r="A13" s="1" t="s">
        <v>589</v>
      </c>
      <c r="B13" s="10" t="s">
        <v>424</v>
      </c>
      <c r="C13" s="10" t="s">
        <v>307</v>
      </c>
      <c r="D13" s="10" t="s">
        <v>307</v>
      </c>
      <c r="E13" s="10" t="s">
        <v>424</v>
      </c>
      <c r="F13" s="10" t="s">
        <v>424</v>
      </c>
      <c r="G13" s="10" t="s">
        <v>424</v>
      </c>
      <c r="H13" s="10" t="s">
        <v>424</v>
      </c>
      <c r="I13" s="10" t="s">
        <v>307</v>
      </c>
      <c r="J13" s="1" t="s">
        <v>514</v>
      </c>
      <c r="K13" s="1" t="s">
        <v>307</v>
      </c>
      <c r="L13" s="1" t="s">
        <v>424</v>
      </c>
      <c r="M13" s="1" t="s">
        <v>307</v>
      </c>
    </row>
    <row r="14" spans="1:13" x14ac:dyDescent="0.45">
      <c r="A14" s="1" t="s">
        <v>600</v>
      </c>
      <c r="B14" s="10" t="s">
        <v>424</v>
      </c>
      <c r="C14" s="10" t="s">
        <v>424</v>
      </c>
      <c r="D14" s="10" t="s">
        <v>307</v>
      </c>
      <c r="E14" s="10" t="s">
        <v>424</v>
      </c>
      <c r="F14" s="10" t="s">
        <v>424</v>
      </c>
      <c r="G14" s="10" t="s">
        <v>424</v>
      </c>
      <c r="H14" s="10" t="s">
        <v>424</v>
      </c>
      <c r="I14" s="10" t="s">
        <v>307</v>
      </c>
      <c r="J14" s="1" t="s">
        <v>606</v>
      </c>
      <c r="K14" s="1" t="s">
        <v>307</v>
      </c>
      <c r="L14" s="1" t="s">
        <v>424</v>
      </c>
      <c r="M14" s="1" t="s">
        <v>307</v>
      </c>
    </row>
    <row r="15" spans="1:13" x14ac:dyDescent="0.45">
      <c r="A15" s="1" t="s">
        <v>612</v>
      </c>
      <c r="B15" s="10" t="s">
        <v>307</v>
      </c>
      <c r="C15" s="10" t="s">
        <v>307</v>
      </c>
      <c r="D15" s="10" t="s">
        <v>424</v>
      </c>
      <c r="E15" s="10" t="s">
        <v>307</v>
      </c>
      <c r="F15" s="10" t="s">
        <v>424</v>
      </c>
      <c r="G15" s="10" t="s">
        <v>424</v>
      </c>
      <c r="H15" s="10" t="s">
        <v>307</v>
      </c>
      <c r="I15" s="10" t="s">
        <v>307</v>
      </c>
      <c r="J15" s="1" t="s">
        <v>514</v>
      </c>
      <c r="K15" s="1" t="s">
        <v>307</v>
      </c>
      <c r="L15" s="1" t="s">
        <v>424</v>
      </c>
      <c r="M15" s="1" t="s">
        <v>307</v>
      </c>
    </row>
    <row r="16" spans="1:13" x14ac:dyDescent="0.45">
      <c r="A16" s="1" t="s">
        <v>621</v>
      </c>
      <c r="B16" s="10" t="s">
        <v>424</v>
      </c>
      <c r="C16" s="10" t="s">
        <v>424</v>
      </c>
      <c r="D16" s="10" t="s">
        <v>307</v>
      </c>
      <c r="E16" s="10" t="s">
        <v>424</v>
      </c>
      <c r="F16" s="10" t="s">
        <v>424</v>
      </c>
      <c r="G16" s="10" t="s">
        <v>424</v>
      </c>
      <c r="H16" s="10" t="s">
        <v>424</v>
      </c>
      <c r="I16" s="10" t="s">
        <v>307</v>
      </c>
      <c r="J16" s="1" t="s">
        <v>494</v>
      </c>
      <c r="K16" s="1" t="s">
        <v>307</v>
      </c>
      <c r="L16" s="1" t="s">
        <v>424</v>
      </c>
      <c r="M16" s="1" t="s">
        <v>307</v>
      </c>
    </row>
    <row r="17" spans="1:13" x14ac:dyDescent="0.45">
      <c r="A17" s="1" t="s">
        <v>621</v>
      </c>
      <c r="B17" s="10" t="s">
        <v>424</v>
      </c>
      <c r="C17" s="10" t="s">
        <v>424</v>
      </c>
      <c r="D17" s="10" t="s">
        <v>307</v>
      </c>
      <c r="E17" s="10" t="s">
        <v>424</v>
      </c>
      <c r="F17" s="10" t="s">
        <v>424</v>
      </c>
      <c r="G17" s="10" t="s">
        <v>424</v>
      </c>
      <c r="H17" s="10" t="s">
        <v>424</v>
      </c>
      <c r="I17" s="10" t="s">
        <v>307</v>
      </c>
      <c r="J17" s="1" t="s">
        <v>896</v>
      </c>
      <c r="K17" s="1" t="s">
        <v>307</v>
      </c>
      <c r="L17" s="1" t="s">
        <v>424</v>
      </c>
      <c r="M17" s="1" t="s">
        <v>307</v>
      </c>
    </row>
    <row r="18" spans="1:13" x14ac:dyDescent="0.45">
      <c r="A18" s="1" t="s">
        <v>631</v>
      </c>
      <c r="B18" s="10" t="s">
        <v>424</v>
      </c>
      <c r="C18" s="10" t="s">
        <v>307</v>
      </c>
      <c r="D18" s="10" t="s">
        <v>307</v>
      </c>
      <c r="E18" s="10" t="s">
        <v>424</v>
      </c>
      <c r="F18" s="10" t="s">
        <v>424</v>
      </c>
      <c r="G18" s="10" t="s">
        <v>424</v>
      </c>
      <c r="H18" s="10" t="s">
        <v>307</v>
      </c>
      <c r="I18" s="10" t="s">
        <v>307</v>
      </c>
      <c r="J18" s="1" t="s">
        <v>449</v>
      </c>
      <c r="K18" s="1" t="s">
        <v>307</v>
      </c>
      <c r="L18" s="1" t="s">
        <v>424</v>
      </c>
      <c r="M18" s="1" t="s">
        <v>307</v>
      </c>
    </row>
    <row r="19" spans="1:13" x14ac:dyDescent="0.45">
      <c r="A19" s="1" t="s">
        <v>641</v>
      </c>
      <c r="B19" s="10" t="s">
        <v>424</v>
      </c>
      <c r="C19" s="10" t="s">
        <v>424</v>
      </c>
      <c r="D19" s="10" t="s">
        <v>307</v>
      </c>
      <c r="E19" s="10" t="s">
        <v>424</v>
      </c>
      <c r="F19" s="10" t="s">
        <v>424</v>
      </c>
      <c r="G19" s="10" t="s">
        <v>424</v>
      </c>
      <c r="H19" s="10" t="s">
        <v>424</v>
      </c>
      <c r="I19" s="10" t="s">
        <v>307</v>
      </c>
      <c r="J19" s="1" t="s">
        <v>494</v>
      </c>
      <c r="K19" s="1" t="s">
        <v>307</v>
      </c>
      <c r="L19" s="1" t="s">
        <v>424</v>
      </c>
      <c r="M19" s="1" t="s">
        <v>307</v>
      </c>
    </row>
    <row r="20" spans="1:13" x14ac:dyDescent="0.45">
      <c r="A20" s="1" t="s">
        <v>650</v>
      </c>
      <c r="B20" s="10" t="s">
        <v>424</v>
      </c>
      <c r="C20" s="10" t="s">
        <v>424</v>
      </c>
      <c r="D20" s="10" t="s">
        <v>307</v>
      </c>
      <c r="E20" s="10" t="s">
        <v>424</v>
      </c>
      <c r="F20" s="10" t="s">
        <v>424</v>
      </c>
      <c r="G20" s="10" t="s">
        <v>424</v>
      </c>
      <c r="H20" s="10" t="s">
        <v>424</v>
      </c>
      <c r="I20" s="10" t="s">
        <v>307</v>
      </c>
      <c r="J20" s="1" t="s">
        <v>514</v>
      </c>
      <c r="K20" s="1" t="s">
        <v>307</v>
      </c>
      <c r="L20" s="1" t="s">
        <v>424</v>
      </c>
      <c r="M20" s="1" t="s">
        <v>307</v>
      </c>
    </row>
    <row r="21" spans="1:13" x14ac:dyDescent="0.45">
      <c r="A21" s="1" t="s">
        <v>660</v>
      </c>
      <c r="B21" s="10" t="s">
        <v>307</v>
      </c>
      <c r="C21" s="10" t="s">
        <v>424</v>
      </c>
      <c r="D21" s="10" t="s">
        <v>424</v>
      </c>
      <c r="E21" s="10" t="s">
        <v>424</v>
      </c>
      <c r="F21" s="10" t="s">
        <v>424</v>
      </c>
      <c r="G21" s="10" t="s">
        <v>307</v>
      </c>
      <c r="H21" s="10" t="s">
        <v>424</v>
      </c>
      <c r="I21" s="10" t="s">
        <v>424</v>
      </c>
      <c r="J21" s="1" t="s">
        <v>449</v>
      </c>
      <c r="K21" s="1" t="s">
        <v>307</v>
      </c>
      <c r="L21" s="1" t="s">
        <v>424</v>
      </c>
      <c r="M21" s="1" t="s">
        <v>307</v>
      </c>
    </row>
    <row r="22" spans="1:13" x14ac:dyDescent="0.45">
      <c r="A22" s="1" t="s">
        <v>669</v>
      </c>
      <c r="B22" s="10" t="s">
        <v>424</v>
      </c>
      <c r="C22" s="10" t="s">
        <v>424</v>
      </c>
      <c r="D22" s="10" t="s">
        <v>307</v>
      </c>
      <c r="E22" s="10" t="s">
        <v>424</v>
      </c>
      <c r="F22" s="10" t="s">
        <v>424</v>
      </c>
      <c r="G22" s="10" t="s">
        <v>424</v>
      </c>
      <c r="H22" s="10" t="s">
        <v>424</v>
      </c>
      <c r="I22" s="10" t="s">
        <v>307</v>
      </c>
      <c r="J22" s="1" t="s">
        <v>514</v>
      </c>
      <c r="K22" s="1" t="s">
        <v>307</v>
      </c>
      <c r="L22" s="1" t="s">
        <v>424</v>
      </c>
      <c r="M22" s="1" t="s">
        <v>307</v>
      </c>
    </row>
    <row r="23" spans="1:13" x14ac:dyDescent="0.45">
      <c r="A23" s="1" t="s">
        <v>681</v>
      </c>
      <c r="B23" s="10" t="s">
        <v>424</v>
      </c>
      <c r="C23" s="10" t="s">
        <v>424</v>
      </c>
      <c r="D23" s="10" t="s">
        <v>424</v>
      </c>
      <c r="E23" s="10" t="s">
        <v>424</v>
      </c>
      <c r="F23" s="21" t="s">
        <v>307</v>
      </c>
      <c r="G23" s="10" t="s">
        <v>424</v>
      </c>
      <c r="H23" s="10" t="s">
        <v>424</v>
      </c>
      <c r="I23" s="10" t="s">
        <v>307</v>
      </c>
      <c r="J23" s="1" t="s">
        <v>514</v>
      </c>
      <c r="K23" s="1" t="s">
        <v>307</v>
      </c>
      <c r="L23" s="1" t="s">
        <v>424</v>
      </c>
      <c r="M23" s="1" t="s">
        <v>307</v>
      </c>
    </row>
    <row r="24" spans="1:13" x14ac:dyDescent="0.45">
      <c r="A24" s="1" t="s">
        <v>692</v>
      </c>
      <c r="B24" s="10" t="s">
        <v>424</v>
      </c>
      <c r="C24" s="10" t="s">
        <v>424</v>
      </c>
      <c r="D24" s="10" t="s">
        <v>424</v>
      </c>
      <c r="E24" s="10" t="s">
        <v>424</v>
      </c>
      <c r="F24" s="10" t="s">
        <v>307</v>
      </c>
      <c r="G24" s="10" t="s">
        <v>424</v>
      </c>
      <c r="H24" s="10" t="s">
        <v>424</v>
      </c>
      <c r="I24" s="10" t="s">
        <v>307</v>
      </c>
      <c r="J24" s="1" t="s">
        <v>697</v>
      </c>
      <c r="K24" s="1" t="s">
        <v>307</v>
      </c>
      <c r="L24" s="1" t="s">
        <v>424</v>
      </c>
      <c r="M24" s="1" t="s">
        <v>307</v>
      </c>
    </row>
    <row r="25" spans="1:13" x14ac:dyDescent="0.45">
      <c r="A25" s="1" t="s">
        <v>703</v>
      </c>
      <c r="B25" s="10" t="s">
        <v>424</v>
      </c>
      <c r="C25" s="10" t="s">
        <v>424</v>
      </c>
      <c r="D25" s="10" t="s">
        <v>307</v>
      </c>
      <c r="E25" s="10" t="s">
        <v>307</v>
      </c>
      <c r="F25" s="10" t="s">
        <v>424</v>
      </c>
      <c r="G25" s="10" t="s">
        <v>424</v>
      </c>
      <c r="H25" s="10" t="s">
        <v>424</v>
      </c>
      <c r="I25" s="10" t="s">
        <v>307</v>
      </c>
      <c r="J25" s="1" t="s">
        <v>427</v>
      </c>
      <c r="K25" s="1" t="s">
        <v>307</v>
      </c>
      <c r="L25" s="1" t="s">
        <v>424</v>
      </c>
      <c r="M25" s="1" t="s">
        <v>307</v>
      </c>
    </row>
    <row r="26" spans="1:13" x14ac:dyDescent="0.45">
      <c r="A26" s="1" t="s">
        <v>711</v>
      </c>
      <c r="B26" s="10" t="s">
        <v>424</v>
      </c>
      <c r="C26" s="10" t="s">
        <v>424</v>
      </c>
      <c r="D26" s="10" t="s">
        <v>307</v>
      </c>
      <c r="E26" s="10" t="s">
        <v>424</v>
      </c>
      <c r="F26" s="10" t="s">
        <v>307</v>
      </c>
      <c r="G26" s="10" t="s">
        <v>424</v>
      </c>
      <c r="H26" s="10" t="s">
        <v>424</v>
      </c>
      <c r="I26" s="10" t="s">
        <v>307</v>
      </c>
      <c r="J26" s="1" t="s">
        <v>427</v>
      </c>
      <c r="K26" s="1" t="s">
        <v>307</v>
      </c>
      <c r="L26" s="1" t="s">
        <v>424</v>
      </c>
      <c r="M26" s="1" t="s">
        <v>307</v>
      </c>
    </row>
    <row r="27" spans="1:13" x14ac:dyDescent="0.45">
      <c r="A27" s="1" t="s">
        <v>725</v>
      </c>
      <c r="B27" s="10" t="s">
        <v>424</v>
      </c>
      <c r="C27" s="10" t="s">
        <v>424</v>
      </c>
      <c r="D27" s="10" t="s">
        <v>307</v>
      </c>
      <c r="E27" s="10" t="s">
        <v>307</v>
      </c>
      <c r="F27" s="10" t="s">
        <v>424</v>
      </c>
      <c r="G27" s="10" t="s">
        <v>424</v>
      </c>
      <c r="H27" s="10" t="s">
        <v>307</v>
      </c>
      <c r="I27" s="10" t="s">
        <v>307</v>
      </c>
      <c r="J27" s="1" t="s">
        <v>514</v>
      </c>
      <c r="K27" s="1" t="s">
        <v>307</v>
      </c>
      <c r="L27" s="1" t="s">
        <v>424</v>
      </c>
      <c r="M27" s="1" t="s">
        <v>307</v>
      </c>
    </row>
    <row r="28" spans="1:13" x14ac:dyDescent="0.45">
      <c r="A28" s="1" t="s">
        <v>737</v>
      </c>
      <c r="B28" s="10" t="s">
        <v>424</v>
      </c>
      <c r="C28" s="10" t="s">
        <v>424</v>
      </c>
      <c r="D28" s="10" t="s">
        <v>307</v>
      </c>
      <c r="E28" s="10" t="s">
        <v>424</v>
      </c>
      <c r="F28" s="10" t="s">
        <v>424</v>
      </c>
      <c r="G28" s="10" t="s">
        <v>424</v>
      </c>
      <c r="H28" s="10" t="s">
        <v>307</v>
      </c>
      <c r="I28" s="10" t="s">
        <v>424</v>
      </c>
      <c r="J28" s="1" t="s">
        <v>514</v>
      </c>
      <c r="K28" s="1" t="s">
        <v>307</v>
      </c>
      <c r="L28" s="1" t="s">
        <v>424</v>
      </c>
      <c r="M28" s="1" t="s">
        <v>424</v>
      </c>
    </row>
    <row r="29" spans="1:13" x14ac:dyDescent="0.45">
      <c r="A29" s="1" t="s">
        <v>755</v>
      </c>
      <c r="B29" s="10" t="s">
        <v>424</v>
      </c>
      <c r="C29" s="10" t="s">
        <v>424</v>
      </c>
      <c r="D29" s="10" t="s">
        <v>307</v>
      </c>
      <c r="E29" s="10" t="s">
        <v>424</v>
      </c>
      <c r="F29" s="10" t="s">
        <v>424</v>
      </c>
      <c r="G29" s="10" t="s">
        <v>307</v>
      </c>
      <c r="H29" s="10" t="s">
        <v>424</v>
      </c>
      <c r="I29" s="10" t="s">
        <v>307</v>
      </c>
      <c r="J29" s="1" t="s">
        <v>449</v>
      </c>
      <c r="K29" s="1" t="s">
        <v>307</v>
      </c>
      <c r="L29" s="1" t="s">
        <v>424</v>
      </c>
      <c r="M29" s="1" t="s">
        <v>307</v>
      </c>
    </row>
    <row r="30" spans="1:13" x14ac:dyDescent="0.45">
      <c r="A30" s="1" t="s">
        <v>762</v>
      </c>
      <c r="B30" s="10" t="s">
        <v>424</v>
      </c>
      <c r="C30" s="10" t="s">
        <v>424</v>
      </c>
      <c r="D30" s="10" t="s">
        <v>424</v>
      </c>
      <c r="E30" s="10" t="s">
        <v>424</v>
      </c>
      <c r="F30" s="10" t="s">
        <v>307</v>
      </c>
      <c r="G30" s="10" t="s">
        <v>424</v>
      </c>
      <c r="H30" s="10" t="s">
        <v>307</v>
      </c>
      <c r="I30" s="10" t="s">
        <v>424</v>
      </c>
      <c r="J30" s="1" t="s">
        <v>514</v>
      </c>
      <c r="K30" s="1" t="s">
        <v>307</v>
      </c>
      <c r="L30" s="1" t="s">
        <v>424</v>
      </c>
      <c r="M30" s="1" t="s">
        <v>307</v>
      </c>
    </row>
    <row r="31" spans="1:13" x14ac:dyDescent="0.45">
      <c r="A31" s="1" t="s">
        <v>777</v>
      </c>
      <c r="B31" s="10" t="s">
        <v>424</v>
      </c>
      <c r="C31" s="10" t="s">
        <v>307</v>
      </c>
      <c r="D31" s="10" t="s">
        <v>307</v>
      </c>
      <c r="E31" s="10" t="s">
        <v>424</v>
      </c>
      <c r="F31" s="10" t="s">
        <v>424</v>
      </c>
      <c r="G31" s="10" t="s">
        <v>424</v>
      </c>
      <c r="H31" s="10" t="s">
        <v>424</v>
      </c>
      <c r="I31" s="10" t="s">
        <v>307</v>
      </c>
      <c r="J31" s="1" t="s">
        <v>514</v>
      </c>
      <c r="K31" s="1" t="s">
        <v>424</v>
      </c>
      <c r="L31" s="1" t="s">
        <v>307</v>
      </c>
      <c r="M31" s="1" t="s">
        <v>307</v>
      </c>
    </row>
    <row r="32" spans="1:13" x14ac:dyDescent="0.45">
      <c r="A32" s="1" t="s">
        <v>789</v>
      </c>
      <c r="B32" s="10" t="s">
        <v>424</v>
      </c>
      <c r="C32" s="10" t="s">
        <v>424</v>
      </c>
      <c r="D32" s="10" t="s">
        <v>424</v>
      </c>
      <c r="E32" s="10" t="s">
        <v>424</v>
      </c>
      <c r="F32" s="10" t="s">
        <v>307</v>
      </c>
      <c r="G32" s="10" t="s">
        <v>424</v>
      </c>
      <c r="H32" s="10" t="s">
        <v>424</v>
      </c>
      <c r="I32" s="10" t="s">
        <v>307</v>
      </c>
      <c r="J32" s="1" t="s">
        <v>427</v>
      </c>
      <c r="K32" s="1" t="s">
        <v>307</v>
      </c>
      <c r="L32" s="1" t="s">
        <v>424</v>
      </c>
      <c r="M32" s="1" t="s">
        <v>307</v>
      </c>
    </row>
    <row r="33" spans="1:13" x14ac:dyDescent="0.45">
      <c r="A33" s="1" t="s">
        <v>800</v>
      </c>
      <c r="B33" s="10" t="s">
        <v>424</v>
      </c>
      <c r="C33" s="10" t="s">
        <v>307</v>
      </c>
      <c r="D33" s="10" t="s">
        <v>307</v>
      </c>
      <c r="E33" s="10" t="s">
        <v>424</v>
      </c>
      <c r="F33" s="10" t="s">
        <v>424</v>
      </c>
      <c r="G33" s="10" t="s">
        <v>424</v>
      </c>
      <c r="H33" s="10" t="s">
        <v>307</v>
      </c>
      <c r="I33" s="10" t="s">
        <v>307</v>
      </c>
      <c r="J33" s="1" t="s">
        <v>449</v>
      </c>
      <c r="K33" s="1" t="s">
        <v>307</v>
      </c>
      <c r="L33" s="1" t="s">
        <v>424</v>
      </c>
      <c r="M33" s="1" t="s">
        <v>307</v>
      </c>
    </row>
    <row r="34" spans="1:13" x14ac:dyDescent="0.45">
      <c r="A34" s="1" t="s">
        <v>807</v>
      </c>
      <c r="B34" s="10" t="s">
        <v>424</v>
      </c>
      <c r="C34" s="10" t="s">
        <v>424</v>
      </c>
      <c r="D34" s="10" t="s">
        <v>307</v>
      </c>
      <c r="E34" s="10" t="s">
        <v>424</v>
      </c>
      <c r="F34" s="10" t="s">
        <v>424</v>
      </c>
      <c r="G34" s="10" t="s">
        <v>424</v>
      </c>
      <c r="H34" s="10" t="s">
        <v>424</v>
      </c>
      <c r="I34" s="10" t="s">
        <v>307</v>
      </c>
      <c r="J34" s="1" t="s">
        <v>494</v>
      </c>
      <c r="K34" s="1" t="s">
        <v>307</v>
      </c>
      <c r="L34" s="1" t="s">
        <v>307</v>
      </c>
      <c r="M34" s="1" t="s">
        <v>307</v>
      </c>
    </row>
    <row r="35" spans="1:13" x14ac:dyDescent="0.45">
      <c r="A35" s="1" t="s">
        <v>814</v>
      </c>
      <c r="B35" s="10" t="s">
        <v>424</v>
      </c>
      <c r="C35" s="10" t="s">
        <v>424</v>
      </c>
      <c r="D35" s="10" t="s">
        <v>307</v>
      </c>
      <c r="E35" s="10" t="s">
        <v>424</v>
      </c>
      <c r="F35" s="10" t="s">
        <v>424</v>
      </c>
      <c r="G35" s="10" t="s">
        <v>424</v>
      </c>
      <c r="H35" s="10" t="s">
        <v>424</v>
      </c>
      <c r="I35" s="10" t="s">
        <v>307</v>
      </c>
      <c r="J35" s="1" t="s">
        <v>449</v>
      </c>
      <c r="K35" s="1" t="s">
        <v>307</v>
      </c>
      <c r="L35" s="1" t="s">
        <v>424</v>
      </c>
      <c r="M35" s="1" t="s">
        <v>424</v>
      </c>
    </row>
    <row r="36" spans="1:13" x14ac:dyDescent="0.45">
      <c r="A36" s="1" t="s">
        <v>829</v>
      </c>
      <c r="B36" s="10" t="s">
        <v>424</v>
      </c>
      <c r="C36" s="10" t="s">
        <v>424</v>
      </c>
      <c r="D36" s="10" t="s">
        <v>307</v>
      </c>
      <c r="E36" s="10" t="s">
        <v>424</v>
      </c>
      <c r="F36" s="10" t="s">
        <v>424</v>
      </c>
      <c r="G36" s="10" t="s">
        <v>424</v>
      </c>
      <c r="H36" s="10" t="s">
        <v>307</v>
      </c>
      <c r="I36" s="10" t="s">
        <v>424</v>
      </c>
      <c r="J36" s="1" t="s">
        <v>449</v>
      </c>
      <c r="K36" s="1" t="s">
        <v>307</v>
      </c>
      <c r="L36" s="1" t="s">
        <v>424</v>
      </c>
      <c r="M36" s="1" t="s">
        <v>307</v>
      </c>
    </row>
    <row r="37" spans="1:13" x14ac:dyDescent="0.45">
      <c r="A37" s="1" t="s">
        <v>837</v>
      </c>
      <c r="B37" s="10" t="s">
        <v>424</v>
      </c>
      <c r="C37" s="10" t="s">
        <v>424</v>
      </c>
      <c r="D37" s="10" t="s">
        <v>307</v>
      </c>
      <c r="E37" s="10" t="s">
        <v>424</v>
      </c>
      <c r="F37" s="10" t="s">
        <v>424</v>
      </c>
      <c r="G37" s="10" t="s">
        <v>424</v>
      </c>
      <c r="H37" s="10" t="s">
        <v>424</v>
      </c>
      <c r="I37" s="10" t="s">
        <v>307</v>
      </c>
      <c r="J37" s="1" t="s">
        <v>514</v>
      </c>
      <c r="K37" s="1" t="s">
        <v>307</v>
      </c>
      <c r="L37" s="1" t="s">
        <v>424</v>
      </c>
      <c r="M37" s="1" t="s">
        <v>307</v>
      </c>
    </row>
    <row r="38" spans="1:13" x14ac:dyDescent="0.45">
      <c r="A38" s="1" t="s">
        <v>847</v>
      </c>
      <c r="B38" s="10" t="s">
        <v>424</v>
      </c>
      <c r="C38" s="10" t="s">
        <v>424</v>
      </c>
      <c r="D38" s="10" t="s">
        <v>307</v>
      </c>
      <c r="E38" s="10" t="s">
        <v>424</v>
      </c>
      <c r="F38" s="10" t="s">
        <v>424</v>
      </c>
      <c r="G38" s="10" t="s">
        <v>424</v>
      </c>
      <c r="H38" s="10" t="s">
        <v>424</v>
      </c>
      <c r="I38" s="10" t="s">
        <v>307</v>
      </c>
      <c r="J38" s="1" t="s">
        <v>449</v>
      </c>
      <c r="K38" s="1" t="s">
        <v>307</v>
      </c>
      <c r="L38" s="1" t="s">
        <v>424</v>
      </c>
      <c r="M38" s="1" t="s">
        <v>307</v>
      </c>
    </row>
    <row r="39" spans="1:13" x14ac:dyDescent="0.45">
      <c r="A39" s="1" t="s">
        <v>852</v>
      </c>
      <c r="B39" s="10" t="s">
        <v>307</v>
      </c>
      <c r="C39" s="10" t="s">
        <v>424</v>
      </c>
      <c r="D39" s="10" t="s">
        <v>424</v>
      </c>
      <c r="E39" s="10" t="s">
        <v>424</v>
      </c>
      <c r="F39" s="10" t="s">
        <v>424</v>
      </c>
      <c r="G39" s="10" t="s">
        <v>424</v>
      </c>
      <c r="H39" s="10" t="s">
        <v>307</v>
      </c>
      <c r="I39" s="10" t="s">
        <v>424</v>
      </c>
      <c r="J39" s="1" t="s">
        <v>514</v>
      </c>
      <c r="K39" s="1" t="s">
        <v>424</v>
      </c>
      <c r="L39" s="1" t="s">
        <v>307</v>
      </c>
      <c r="M39" s="1" t="s">
        <v>307</v>
      </c>
    </row>
    <row r="40" spans="1:13" x14ac:dyDescent="0.45">
      <c r="A40" s="1" t="s">
        <v>860</v>
      </c>
      <c r="B40" s="10" t="s">
        <v>424</v>
      </c>
      <c r="C40" s="10" t="s">
        <v>307</v>
      </c>
      <c r="D40" s="10" t="s">
        <v>307</v>
      </c>
      <c r="E40" s="10" t="s">
        <v>424</v>
      </c>
      <c r="F40" s="10" t="s">
        <v>424</v>
      </c>
      <c r="G40" s="10" t="s">
        <v>424</v>
      </c>
      <c r="H40" s="10" t="s">
        <v>307</v>
      </c>
      <c r="I40" s="10" t="s">
        <v>424</v>
      </c>
      <c r="J40" s="1" t="s">
        <v>514</v>
      </c>
      <c r="K40" s="1" t="s">
        <v>307</v>
      </c>
      <c r="L40" s="1" t="s">
        <v>424</v>
      </c>
      <c r="M40" s="1" t="s">
        <v>307</v>
      </c>
    </row>
    <row r="41" spans="1:13" x14ac:dyDescent="0.45">
      <c r="A41" s="1" t="s">
        <v>871</v>
      </c>
      <c r="B41" s="10" t="s">
        <v>424</v>
      </c>
      <c r="C41" s="10" t="s">
        <v>307</v>
      </c>
      <c r="D41" s="10" t="s">
        <v>307</v>
      </c>
      <c r="E41" s="10" t="s">
        <v>424</v>
      </c>
      <c r="F41" s="10" t="s">
        <v>424</v>
      </c>
      <c r="G41" s="10" t="s">
        <v>424</v>
      </c>
      <c r="H41" s="10" t="s">
        <v>424</v>
      </c>
      <c r="I41" s="10" t="s">
        <v>307</v>
      </c>
      <c r="J41" s="1" t="s">
        <v>514</v>
      </c>
      <c r="K41" s="1" t="s">
        <v>307</v>
      </c>
      <c r="L41" s="1" t="s">
        <v>424</v>
      </c>
      <c r="M41" s="1" t="s">
        <v>307</v>
      </c>
    </row>
  </sheetData>
  <autoFilter ref="A1:M41" xr:uid="{6B9E47D0-EE17-4A85-8BA0-2328353C508D}"/>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C040-3288-49C2-A210-F9866EF2C548}">
  <dimension ref="A1:D47"/>
  <sheetViews>
    <sheetView workbookViewId="0">
      <selection activeCell="H42" sqref="H42"/>
    </sheetView>
  </sheetViews>
  <sheetFormatPr defaultRowHeight="14.25" x14ac:dyDescent="0.45"/>
  <cols>
    <col min="1" max="1" width="19.59765625" bestFit="1" customWidth="1"/>
    <col min="2" max="2" width="21.1328125" bestFit="1" customWidth="1"/>
    <col min="3" max="3" width="40.59765625" bestFit="1" customWidth="1"/>
  </cols>
  <sheetData>
    <row r="1" spans="1:4" x14ac:dyDescent="0.45">
      <c r="A1" s="2" t="s">
        <v>386</v>
      </c>
      <c r="B1" s="2" t="s">
        <v>385</v>
      </c>
      <c r="C1" s="2" t="s">
        <v>720</v>
      </c>
    </row>
    <row r="2" spans="1:4" x14ac:dyDescent="0.45">
      <c r="A2" s="1" t="s">
        <v>408</v>
      </c>
      <c r="B2" s="1" t="s">
        <v>409</v>
      </c>
      <c r="C2" s="1" t="s">
        <v>424</v>
      </c>
    </row>
    <row r="3" spans="1:4" x14ac:dyDescent="0.45">
      <c r="A3" s="1" t="s">
        <v>443</v>
      </c>
      <c r="B3" s="1" t="s">
        <v>444</v>
      </c>
      <c r="C3" s="14" t="s">
        <v>885</v>
      </c>
    </row>
    <row r="4" spans="1:4" x14ac:dyDescent="0.45">
      <c r="A4" s="1" t="s">
        <v>464</v>
      </c>
      <c r="B4" s="1" t="s">
        <v>465</v>
      </c>
      <c r="C4" s="1" t="s">
        <v>424</v>
      </c>
    </row>
    <row r="5" spans="1:4" x14ac:dyDescent="0.45">
      <c r="A5" s="1" t="s">
        <v>474</v>
      </c>
      <c r="B5" s="1" t="s">
        <v>475</v>
      </c>
      <c r="C5" s="1" t="s">
        <v>480</v>
      </c>
    </row>
    <row r="6" spans="1:4" x14ac:dyDescent="0.45">
      <c r="A6" s="1" t="s">
        <v>488</v>
      </c>
      <c r="B6" s="1" t="s">
        <v>489</v>
      </c>
      <c r="C6" s="1" t="s">
        <v>424</v>
      </c>
    </row>
    <row r="7" spans="1:4" x14ac:dyDescent="0.45">
      <c r="A7" s="1" t="s">
        <v>506</v>
      </c>
      <c r="B7" s="1" t="s">
        <v>507</v>
      </c>
      <c r="C7" s="1" t="s">
        <v>424</v>
      </c>
    </row>
    <row r="8" spans="1:4" x14ac:dyDescent="0.45">
      <c r="A8" s="1" t="s">
        <v>519</v>
      </c>
      <c r="B8" s="1" t="s">
        <v>520</v>
      </c>
      <c r="C8" s="1" t="s">
        <v>887</v>
      </c>
      <c r="D8" s="19"/>
    </row>
    <row r="9" spans="1:4" x14ac:dyDescent="0.45">
      <c r="A9" s="1" t="s">
        <v>539</v>
      </c>
      <c r="B9" s="1" t="s">
        <v>538</v>
      </c>
      <c r="C9" s="1" t="s">
        <v>889</v>
      </c>
    </row>
    <row r="10" spans="1:4" x14ac:dyDescent="0.45">
      <c r="A10" s="1" t="s">
        <v>546</v>
      </c>
      <c r="B10" s="1" t="s">
        <v>547</v>
      </c>
      <c r="C10" s="1" t="s">
        <v>554</v>
      </c>
    </row>
    <row r="11" spans="1:4" x14ac:dyDescent="0.45">
      <c r="A11" s="1" t="s">
        <v>556</v>
      </c>
      <c r="B11" s="1" t="s">
        <v>557</v>
      </c>
      <c r="C11" s="1" t="s">
        <v>424</v>
      </c>
    </row>
    <row r="12" spans="1:4" x14ac:dyDescent="0.45">
      <c r="A12" s="1" t="s">
        <v>564</v>
      </c>
      <c r="B12" s="1" t="s">
        <v>565</v>
      </c>
      <c r="C12" s="1" t="s">
        <v>885</v>
      </c>
    </row>
    <row r="13" spans="1:4" x14ac:dyDescent="0.45">
      <c r="A13" s="1" t="s">
        <v>564</v>
      </c>
      <c r="B13" s="1" t="s">
        <v>565</v>
      </c>
      <c r="C13" s="1" t="s">
        <v>889</v>
      </c>
    </row>
    <row r="14" spans="1:4" x14ac:dyDescent="0.45">
      <c r="A14" s="1" t="s">
        <v>580</v>
      </c>
      <c r="B14" s="1" t="s">
        <v>579</v>
      </c>
      <c r="C14" s="1" t="s">
        <v>890</v>
      </c>
    </row>
    <row r="15" spans="1:4" x14ac:dyDescent="0.45">
      <c r="A15" s="1" t="s">
        <v>589</v>
      </c>
      <c r="B15" s="1" t="s">
        <v>489</v>
      </c>
      <c r="C15" s="1"/>
    </row>
    <row r="16" spans="1:4" x14ac:dyDescent="0.45">
      <c r="A16" s="1" t="s">
        <v>600</v>
      </c>
      <c r="B16" s="1" t="s">
        <v>601</v>
      </c>
      <c r="C16" s="1" t="s">
        <v>887</v>
      </c>
      <c r="D16" s="19"/>
    </row>
    <row r="17" spans="1:4" x14ac:dyDescent="0.45">
      <c r="A17" s="1" t="s">
        <v>612</v>
      </c>
      <c r="B17" s="1" t="s">
        <v>613</v>
      </c>
      <c r="C17" s="1" t="s">
        <v>886</v>
      </c>
    </row>
    <row r="18" spans="1:4" x14ac:dyDescent="0.45">
      <c r="A18" s="1" t="s">
        <v>621</v>
      </c>
      <c r="B18" s="1" t="s">
        <v>622</v>
      </c>
      <c r="C18" s="1" t="s">
        <v>424</v>
      </c>
    </row>
    <row r="19" spans="1:4" x14ac:dyDescent="0.45">
      <c r="A19" s="1" t="s">
        <v>631</v>
      </c>
      <c r="B19" s="1" t="s">
        <v>632</v>
      </c>
      <c r="C19" s="1" t="s">
        <v>424</v>
      </c>
    </row>
    <row r="20" spans="1:4" x14ac:dyDescent="0.45">
      <c r="A20" s="1" t="s">
        <v>641</v>
      </c>
      <c r="B20" s="1" t="s">
        <v>642</v>
      </c>
      <c r="C20" s="1" t="s">
        <v>887</v>
      </c>
      <c r="D20" s="19"/>
    </row>
    <row r="21" spans="1:4" x14ac:dyDescent="0.45">
      <c r="A21" s="1" t="s">
        <v>650</v>
      </c>
      <c r="B21" s="1" t="s">
        <v>651</v>
      </c>
      <c r="C21" s="1" t="s">
        <v>424</v>
      </c>
    </row>
    <row r="22" spans="1:4" x14ac:dyDescent="0.45">
      <c r="A22" s="1" t="s">
        <v>660</v>
      </c>
      <c r="B22" s="1" t="s">
        <v>661</v>
      </c>
      <c r="C22" s="1" t="s">
        <v>424</v>
      </c>
    </row>
    <row r="23" spans="1:4" x14ac:dyDescent="0.45">
      <c r="A23" s="1" t="s">
        <v>669</v>
      </c>
      <c r="B23" s="1" t="s">
        <v>670</v>
      </c>
      <c r="C23" s="1" t="s">
        <v>890</v>
      </c>
    </row>
    <row r="24" spans="1:4" x14ac:dyDescent="0.45">
      <c r="A24" s="1" t="s">
        <v>681</v>
      </c>
      <c r="B24" s="1" t="s">
        <v>680</v>
      </c>
      <c r="C24" s="1" t="s">
        <v>424</v>
      </c>
    </row>
    <row r="25" spans="1:4" x14ac:dyDescent="0.45">
      <c r="A25" s="1" t="s">
        <v>692</v>
      </c>
      <c r="B25" s="1" t="s">
        <v>693</v>
      </c>
      <c r="C25" s="1" t="s">
        <v>888</v>
      </c>
    </row>
    <row r="26" spans="1:4" x14ac:dyDescent="0.45">
      <c r="A26" s="1" t="s">
        <v>692</v>
      </c>
      <c r="B26" s="1" t="s">
        <v>693</v>
      </c>
      <c r="C26" s="1" t="s">
        <v>887</v>
      </c>
    </row>
    <row r="27" spans="1:4" x14ac:dyDescent="0.45">
      <c r="A27" s="1" t="s">
        <v>703</v>
      </c>
      <c r="B27" s="1" t="s">
        <v>704</v>
      </c>
      <c r="C27" s="1" t="s">
        <v>424</v>
      </c>
    </row>
    <row r="28" spans="1:4" x14ac:dyDescent="0.45">
      <c r="A28" s="1" t="s">
        <v>711</v>
      </c>
      <c r="B28" s="1" t="s">
        <v>712</v>
      </c>
      <c r="C28" s="1" t="s">
        <v>424</v>
      </c>
    </row>
    <row r="29" spans="1:4" x14ac:dyDescent="0.45">
      <c r="A29" s="1" t="s">
        <v>725</v>
      </c>
      <c r="B29" s="1" t="s">
        <v>726</v>
      </c>
      <c r="C29" s="1" t="s">
        <v>887</v>
      </c>
    </row>
    <row r="30" spans="1:4" x14ac:dyDescent="0.45">
      <c r="A30" s="1" t="s">
        <v>737</v>
      </c>
      <c r="B30" s="1" t="s">
        <v>738</v>
      </c>
      <c r="C30" s="1" t="s">
        <v>424</v>
      </c>
    </row>
    <row r="31" spans="1:4" x14ac:dyDescent="0.45">
      <c r="A31" s="1" t="s">
        <v>745</v>
      </c>
      <c r="B31" s="1" t="s">
        <v>746</v>
      </c>
      <c r="C31" s="1" t="s">
        <v>887</v>
      </c>
    </row>
    <row r="32" spans="1:4" x14ac:dyDescent="0.45">
      <c r="A32" s="1" t="s">
        <v>755</v>
      </c>
      <c r="B32" s="1" t="s">
        <v>670</v>
      </c>
      <c r="C32" s="1" t="s">
        <v>480</v>
      </c>
    </row>
    <row r="33" spans="1:3" x14ac:dyDescent="0.45">
      <c r="A33" s="1" t="s">
        <v>762</v>
      </c>
      <c r="B33" s="1" t="s">
        <v>763</v>
      </c>
      <c r="C33" s="1" t="s">
        <v>480</v>
      </c>
    </row>
    <row r="34" spans="1:3" x14ac:dyDescent="0.45">
      <c r="A34" s="1" t="s">
        <v>777</v>
      </c>
      <c r="B34" s="1" t="s">
        <v>778</v>
      </c>
      <c r="C34" s="1" t="s">
        <v>892</v>
      </c>
    </row>
    <row r="35" spans="1:3" x14ac:dyDescent="0.45">
      <c r="A35" s="1" t="s">
        <v>777</v>
      </c>
      <c r="B35" s="1" t="s">
        <v>778</v>
      </c>
      <c r="C35" s="1" t="s">
        <v>891</v>
      </c>
    </row>
    <row r="36" spans="1:3" x14ac:dyDescent="0.45">
      <c r="A36" s="1" t="s">
        <v>777</v>
      </c>
      <c r="B36" s="1" t="s">
        <v>778</v>
      </c>
      <c r="C36" s="1" t="s">
        <v>887</v>
      </c>
    </row>
    <row r="37" spans="1:3" x14ac:dyDescent="0.45">
      <c r="A37" s="1" t="s">
        <v>789</v>
      </c>
      <c r="B37" s="1" t="s">
        <v>790</v>
      </c>
      <c r="C37" s="1" t="s">
        <v>887</v>
      </c>
    </row>
    <row r="38" spans="1:3" x14ac:dyDescent="0.45">
      <c r="A38" s="1" t="s">
        <v>800</v>
      </c>
      <c r="B38" s="1" t="s">
        <v>801</v>
      </c>
      <c r="C38" s="1" t="s">
        <v>424</v>
      </c>
    </row>
    <row r="39" spans="1:3" x14ac:dyDescent="0.45">
      <c r="A39" s="1" t="s">
        <v>807</v>
      </c>
      <c r="B39" s="1" t="s">
        <v>808</v>
      </c>
      <c r="C39" s="1" t="s">
        <v>424</v>
      </c>
    </row>
    <row r="40" spans="1:3" x14ac:dyDescent="0.45">
      <c r="A40" s="1" t="s">
        <v>814</v>
      </c>
      <c r="B40" s="1" t="s">
        <v>815</v>
      </c>
      <c r="C40" s="1" t="s">
        <v>424</v>
      </c>
    </row>
    <row r="41" spans="1:3" x14ac:dyDescent="0.45">
      <c r="A41" s="1" t="s">
        <v>829</v>
      </c>
      <c r="B41" s="1" t="s">
        <v>830</v>
      </c>
      <c r="C41" s="1" t="s">
        <v>424</v>
      </c>
    </row>
    <row r="42" spans="1:3" x14ac:dyDescent="0.45">
      <c r="A42" s="1" t="s">
        <v>837</v>
      </c>
      <c r="B42" s="1" t="s">
        <v>839</v>
      </c>
      <c r="C42" s="1" t="s">
        <v>887</v>
      </c>
    </row>
    <row r="43" spans="1:3" x14ac:dyDescent="0.45">
      <c r="A43" s="1" t="s">
        <v>847</v>
      </c>
      <c r="B43" s="1" t="s">
        <v>848</v>
      </c>
      <c r="C43" s="1" t="s">
        <v>424</v>
      </c>
    </row>
    <row r="44" spans="1:3" x14ac:dyDescent="0.45">
      <c r="A44" s="1" t="s">
        <v>852</v>
      </c>
      <c r="B44" s="1" t="s">
        <v>853</v>
      </c>
      <c r="C44" s="1" t="s">
        <v>857</v>
      </c>
    </row>
    <row r="45" spans="1:3" x14ac:dyDescent="0.45">
      <c r="A45" s="1" t="s">
        <v>860</v>
      </c>
      <c r="B45" s="1" t="s">
        <v>861</v>
      </c>
      <c r="C45" s="1" t="s">
        <v>424</v>
      </c>
    </row>
    <row r="46" spans="1:3" x14ac:dyDescent="0.45">
      <c r="A46" s="1" t="s">
        <v>871</v>
      </c>
      <c r="B46" s="1" t="s">
        <v>870</v>
      </c>
      <c r="C46" s="1" t="s">
        <v>887</v>
      </c>
    </row>
    <row r="47" spans="1:3" x14ac:dyDescent="0.45">
      <c r="A47" s="1" t="s">
        <v>871</v>
      </c>
      <c r="B47" s="1" t="s">
        <v>870</v>
      </c>
      <c r="C47" s="18" t="s">
        <v>893</v>
      </c>
    </row>
  </sheetData>
  <phoneticPr fontId="3"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53C4-220E-4D1B-A2F8-8B3E402D015C}">
  <dimension ref="A1:J11"/>
  <sheetViews>
    <sheetView tabSelected="1" zoomScale="70" zoomScaleNormal="70" workbookViewId="0">
      <selection activeCell="G35" sqref="G35"/>
    </sheetView>
  </sheetViews>
  <sheetFormatPr defaultRowHeight="14.25" x14ac:dyDescent="0.45"/>
  <cols>
    <col min="1" max="1" width="85.3984375" bestFit="1" customWidth="1"/>
    <col min="2" max="2" width="26" bestFit="1" customWidth="1"/>
    <col min="3" max="3" width="11.86328125" bestFit="1" customWidth="1"/>
    <col min="4" max="4" width="11.265625" bestFit="1" customWidth="1"/>
    <col min="5" max="5" width="6.59765625" bestFit="1" customWidth="1"/>
    <col min="6" max="6" width="11.59765625" bestFit="1" customWidth="1"/>
    <col min="7" max="7" width="23.86328125" bestFit="1" customWidth="1"/>
    <col min="8" max="8" width="23.3984375" bestFit="1" customWidth="1"/>
    <col min="9" max="9" width="60.1328125" bestFit="1" customWidth="1"/>
    <col min="10" max="10" width="43.1328125" bestFit="1" customWidth="1"/>
  </cols>
  <sheetData>
    <row r="1" spans="1:10" x14ac:dyDescent="0.45">
      <c r="A1" s="4" t="s">
        <v>89</v>
      </c>
      <c r="B1" s="2" t="s">
        <v>51</v>
      </c>
      <c r="C1" s="2" t="s">
        <v>386</v>
      </c>
      <c r="D1" s="2" t="s">
        <v>385</v>
      </c>
      <c r="E1" s="2" t="s">
        <v>313</v>
      </c>
      <c r="F1" s="2" t="s">
        <v>396</v>
      </c>
      <c r="G1" s="2" t="s">
        <v>414</v>
      </c>
      <c r="H1" s="2" t="s">
        <v>415</v>
      </c>
      <c r="I1" s="2" t="s">
        <v>417</v>
      </c>
      <c r="J1" s="2" t="s">
        <v>416</v>
      </c>
    </row>
    <row r="2" spans="1:10" x14ac:dyDescent="0.45">
      <c r="A2" s="1" t="s">
        <v>102</v>
      </c>
      <c r="B2" s="1" t="s">
        <v>19</v>
      </c>
      <c r="C2" s="1" t="s">
        <v>408</v>
      </c>
      <c r="D2" s="1" t="s">
        <v>409</v>
      </c>
      <c r="E2" s="1">
        <v>2024</v>
      </c>
      <c r="F2" s="1" t="s">
        <v>307</v>
      </c>
      <c r="G2" s="1" t="s">
        <v>424</v>
      </c>
      <c r="H2" s="1" t="s">
        <v>307</v>
      </c>
      <c r="I2" s="1" t="s">
        <v>431</v>
      </c>
      <c r="J2" s="1" t="s">
        <v>425</v>
      </c>
    </row>
    <row r="3" spans="1:10" x14ac:dyDescent="0.45">
      <c r="A3" s="1" t="s">
        <v>473</v>
      </c>
      <c r="B3" s="1" t="s">
        <v>337</v>
      </c>
      <c r="C3" s="1" t="s">
        <v>474</v>
      </c>
      <c r="D3" s="1" t="s">
        <v>475</v>
      </c>
      <c r="E3" s="1">
        <v>2025</v>
      </c>
      <c r="F3" s="1" t="s">
        <v>307</v>
      </c>
      <c r="G3" s="1" t="s">
        <v>424</v>
      </c>
      <c r="H3" s="1" t="s">
        <v>307</v>
      </c>
      <c r="I3" s="1" t="s">
        <v>424</v>
      </c>
      <c r="J3" s="1" t="s">
        <v>484</v>
      </c>
    </row>
    <row r="4" spans="1:10" x14ac:dyDescent="0.45">
      <c r="A4" s="1" t="s">
        <v>91</v>
      </c>
      <c r="B4" s="1" t="s">
        <v>61</v>
      </c>
      <c r="C4" s="1" t="s">
        <v>564</v>
      </c>
      <c r="D4" s="1" t="s">
        <v>565</v>
      </c>
      <c r="E4" s="1">
        <v>2025</v>
      </c>
      <c r="F4" s="1" t="s">
        <v>307</v>
      </c>
      <c r="G4" s="1" t="s">
        <v>424</v>
      </c>
      <c r="H4" s="1" t="s">
        <v>307</v>
      </c>
      <c r="I4" s="1" t="s">
        <v>572</v>
      </c>
      <c r="J4" s="1" t="s">
        <v>425</v>
      </c>
    </row>
    <row r="5" spans="1:10" x14ac:dyDescent="0.45">
      <c r="A5" s="1" t="s">
        <v>588</v>
      </c>
      <c r="B5" s="1" t="s">
        <v>46</v>
      </c>
      <c r="C5" s="1" t="s">
        <v>589</v>
      </c>
      <c r="D5" s="1" t="s">
        <v>489</v>
      </c>
      <c r="E5" s="1">
        <v>2025</v>
      </c>
      <c r="F5" s="1" t="s">
        <v>307</v>
      </c>
      <c r="G5" s="1" t="s">
        <v>424</v>
      </c>
      <c r="H5" s="1" t="s">
        <v>307</v>
      </c>
      <c r="I5" s="1" t="s">
        <v>424</v>
      </c>
      <c r="J5" s="1" t="s">
        <v>484</v>
      </c>
    </row>
    <row r="6" spans="1:10" x14ac:dyDescent="0.45">
      <c r="A6" s="1" t="s">
        <v>93</v>
      </c>
      <c r="B6" s="1" t="s">
        <v>40</v>
      </c>
      <c r="C6" s="1" t="s">
        <v>681</v>
      </c>
      <c r="D6" s="1" t="s">
        <v>680</v>
      </c>
      <c r="E6" s="1">
        <v>2025</v>
      </c>
      <c r="F6" s="1" t="s">
        <v>307</v>
      </c>
      <c r="G6" s="1" t="s">
        <v>424</v>
      </c>
      <c r="H6" s="1" t="s">
        <v>307</v>
      </c>
      <c r="I6" s="1" t="s">
        <v>424</v>
      </c>
      <c r="J6" s="1" t="s">
        <v>425</v>
      </c>
    </row>
    <row r="7" spans="1:10" x14ac:dyDescent="0.45">
      <c r="A7" s="1" t="s">
        <v>724</v>
      </c>
      <c r="B7" s="1" t="s">
        <v>343</v>
      </c>
      <c r="C7" s="1" t="s">
        <v>725</v>
      </c>
      <c r="D7" s="1" t="s">
        <v>726</v>
      </c>
      <c r="E7" s="1">
        <v>2025</v>
      </c>
      <c r="F7" s="1" t="s">
        <v>307</v>
      </c>
      <c r="G7" s="1" t="s">
        <v>424</v>
      </c>
      <c r="H7" s="1" t="s">
        <v>307</v>
      </c>
      <c r="I7" s="1" t="s">
        <v>307</v>
      </c>
      <c r="J7" s="1" t="s">
        <v>425</v>
      </c>
    </row>
    <row r="8" spans="1:10" x14ac:dyDescent="0.45">
      <c r="A8" s="1" t="s">
        <v>788</v>
      </c>
      <c r="B8" s="1" t="s">
        <v>50</v>
      </c>
      <c r="C8" s="1" t="s">
        <v>789</v>
      </c>
      <c r="D8" s="1" t="s">
        <v>790</v>
      </c>
      <c r="E8" s="1">
        <v>2024</v>
      </c>
      <c r="F8" s="1" t="s">
        <v>307</v>
      </c>
      <c r="G8" s="1" t="s">
        <v>307</v>
      </c>
      <c r="H8" s="1" t="s">
        <v>307</v>
      </c>
      <c r="I8" s="1" t="s">
        <v>503</v>
      </c>
      <c r="J8" s="1" t="s">
        <v>484</v>
      </c>
    </row>
    <row r="9" spans="1:10" x14ac:dyDescent="0.45">
      <c r="A9" s="1" t="s">
        <v>95</v>
      </c>
      <c r="B9" s="1" t="s">
        <v>65</v>
      </c>
      <c r="C9" s="1" t="s">
        <v>814</v>
      </c>
      <c r="D9" s="1" t="s">
        <v>815</v>
      </c>
      <c r="E9" s="1">
        <v>2023</v>
      </c>
      <c r="F9" s="1" t="s">
        <v>307</v>
      </c>
      <c r="G9" s="1" t="s">
        <v>424</v>
      </c>
      <c r="H9" s="1" t="s">
        <v>307</v>
      </c>
      <c r="I9" s="1" t="s">
        <v>424</v>
      </c>
      <c r="J9" s="1" t="s">
        <v>822</v>
      </c>
    </row>
    <row r="10" spans="1:10" x14ac:dyDescent="0.45">
      <c r="A10" s="1" t="s">
        <v>836</v>
      </c>
      <c r="B10" s="1" t="s">
        <v>371</v>
      </c>
      <c r="C10" s="1" t="s">
        <v>837</v>
      </c>
      <c r="D10" s="1" t="s">
        <v>839</v>
      </c>
      <c r="E10" s="1">
        <v>2014</v>
      </c>
      <c r="F10" s="1" t="s">
        <v>307</v>
      </c>
      <c r="G10" s="1" t="s">
        <v>307</v>
      </c>
      <c r="H10" s="1" t="s">
        <v>307</v>
      </c>
      <c r="I10" s="1" t="s">
        <v>424</v>
      </c>
      <c r="J10" s="1" t="s">
        <v>822</v>
      </c>
    </row>
    <row r="11" spans="1:10" x14ac:dyDescent="0.45">
      <c r="A11" s="1" t="s">
        <v>536</v>
      </c>
      <c r="B11" s="1" t="s">
        <v>383</v>
      </c>
      <c r="C11" s="1" t="s">
        <v>860</v>
      </c>
      <c r="D11" s="1" t="s">
        <v>861</v>
      </c>
      <c r="E11" s="1">
        <v>2022</v>
      </c>
      <c r="F11" s="1" t="s">
        <v>307</v>
      </c>
      <c r="G11" s="1" t="s">
        <v>307</v>
      </c>
      <c r="H11" s="1" t="s">
        <v>424</v>
      </c>
      <c r="I11" s="1" t="s">
        <v>424</v>
      </c>
      <c r="J11" s="1" t="s">
        <v>822</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PRISMA_1</vt:lpstr>
      <vt:lpstr>PRISMA 2_3</vt:lpstr>
      <vt:lpstr>PRISMA4</vt:lpstr>
      <vt:lpstr>PRISMA 4 SC</vt:lpstr>
      <vt:lpstr>PRISMA 4 SC 2</vt:lpstr>
      <vt:lpstr>PRISMA 4 SCM Task</vt:lpstr>
      <vt:lpstr>PRISMA 4 SUS</vt:lpstr>
      <vt:lpstr>PRISMA 4 SUS2</vt:lpstr>
      <vt:lpstr>AnalyseSCCharacteristics</vt:lpstr>
      <vt:lpstr>PRISMA 4 RL</vt:lpstr>
      <vt:lpstr>PRISMA 4 Hybrid</vt:lpstr>
      <vt:lpstr>PRISMA 4 NN</vt:lpstr>
      <vt:lpstr>PRISMA 4 Relationship</vt:lpstr>
      <vt:lpstr>Co-Problems</vt:lpstr>
      <vt:lpstr>PRISMA 4 RL 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2025-01-17T11:02:55Z</dcterms:created>
  <dcterms:modified xsi:type="dcterms:W3CDTF">2026-03-30T18:48:08Z</dcterms:modified>
</cp:coreProperties>
</file>